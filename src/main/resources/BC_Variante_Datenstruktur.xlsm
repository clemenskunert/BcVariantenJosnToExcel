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IDEProjects\Intellij\BcVariantenJosnToExcel\src\main\resources\"/>
    </mc:Choice>
  </mc:AlternateContent>
  <xr:revisionPtr revIDLastSave="0" documentId="13_ncr:1_{F4C4F104-DF18-43DD-BEA1-3CAD62679E82}" xr6:coauthVersionLast="47" xr6:coauthVersionMax="47" xr10:uidLastSave="{00000000-0000-0000-0000-000000000000}"/>
  <bookViews>
    <workbookView xWindow="-120" yWindow="-120" windowWidth="29040" windowHeight="15720" xr2:uid="{FB1FBAAD-2631-4801-9220-5834148C7D5E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1" l="1" a="1"/>
  <c r="AJ38" i="1" a="1"/>
  <c r="AJ17" i="1" a="1"/>
  <c r="AJ2" i="1" a="1"/>
  <c r="AJ43" i="1" a="1"/>
  <c r="AJ31" i="1" a="1"/>
  <c r="AJ19" i="1" a="1"/>
  <c r="AJ10" i="1" a="1"/>
  <c r="AJ39" i="1" a="1"/>
  <c r="AJ30" i="1" a="1"/>
  <c r="AJ24" i="1" a="1"/>
  <c r="AJ21" i="1" a="1"/>
  <c r="AJ15" i="1" a="1"/>
  <c r="AJ9" i="1" a="1"/>
  <c r="AJ3" i="1" a="1"/>
  <c r="AJ44" i="1" a="1"/>
  <c r="AJ35" i="1" a="1"/>
  <c r="AJ32" i="1" a="1"/>
  <c r="AJ29" i="1" a="1"/>
  <c r="AJ26" i="1" a="1"/>
  <c r="AJ23" i="1" a="1"/>
  <c r="AJ20" i="1" a="1"/>
  <c r="AJ14" i="1" a="1"/>
  <c r="AJ8" i="1" a="1"/>
  <c r="AJ5" i="1" a="1"/>
  <c r="AJ40" i="1" a="1"/>
  <c r="AJ34" i="1" a="1"/>
  <c r="AJ25" i="1" a="1"/>
  <c r="AJ16" i="1" a="1"/>
  <c r="AJ7" i="1" a="1"/>
  <c r="AJ42" i="1" a="1"/>
  <c r="AJ33" i="1" a="1"/>
  <c r="AJ27" i="1" a="1"/>
  <c r="AJ18" i="1" a="1"/>
  <c r="AJ12" i="1" a="1"/>
  <c r="AJ6" i="1" a="1"/>
  <c r="AJ41" i="1" a="1"/>
  <c r="AJ11" i="1" a="1"/>
  <c r="AJ37" i="1" a="1"/>
  <c r="AJ28" i="1" a="1"/>
  <c r="AJ22" i="1" a="1"/>
  <c r="AJ13" i="1" a="1"/>
  <c r="AJ4" i="1" a="1"/>
  <c r="AJ36" i="1" a="1"/>
  <c r="AH15" i="1" a="1"/>
  <c r="AH9" i="1" a="1"/>
  <c r="AH3" i="1" a="1"/>
  <c r="AH14" i="1" a="1"/>
  <c r="AH8" i="1" a="1"/>
  <c r="AH2" i="1" a="1"/>
  <c r="AH13" i="1" a="1"/>
  <c r="AH7" i="1" a="1"/>
  <c r="AH12" i="1" a="1"/>
  <c r="AH6" i="1" a="1"/>
  <c r="AH11" i="1" a="1"/>
  <c r="AH5" i="1" a="1"/>
  <c r="AH10" i="1" a="1"/>
  <c r="AH4" i="1" a="1"/>
  <c r="AF9" i="1" a="1"/>
  <c r="AF32" i="1" a="1"/>
  <c r="AF14" i="1" a="1"/>
  <c r="AF2" i="1" a="1"/>
  <c r="AF49" i="1" a="1"/>
  <c r="AF25" i="1" a="1"/>
  <c r="AF13" i="1" a="1"/>
  <c r="AF48" i="1" a="1"/>
  <c r="AF30" i="1" a="1"/>
  <c r="AF24" i="1" a="1"/>
  <c r="AF12" i="1" a="1"/>
  <c r="AF47" i="1" a="1"/>
  <c r="AF29" i="1" a="1"/>
  <c r="AF17" i="1" a="1"/>
  <c r="AF5" i="1" a="1"/>
  <c r="AF46" i="1" a="1"/>
  <c r="AF34" i="1" a="1"/>
  <c r="AF22" i="1" a="1"/>
  <c r="AF4" i="1" a="1"/>
  <c r="AF51" i="1" a="1"/>
  <c r="AF45" i="1" a="1"/>
  <c r="AF39" i="1" a="1"/>
  <c r="AF33" i="1" a="1"/>
  <c r="AF27" i="1" a="1"/>
  <c r="AF21" i="1" a="1"/>
  <c r="AF15" i="1" a="1"/>
  <c r="AF3" i="1" a="1"/>
  <c r="AF50" i="1" a="1"/>
  <c r="AF44" i="1" a="1"/>
  <c r="AF38" i="1" a="1"/>
  <c r="AF26" i="1" a="1"/>
  <c r="AF20" i="1" a="1"/>
  <c r="AF8" i="1" a="1"/>
  <c r="AF43" i="1" a="1"/>
  <c r="AF37" i="1" a="1"/>
  <c r="AF31" i="1" a="1"/>
  <c r="AF19" i="1" a="1"/>
  <c r="AF7" i="1" a="1"/>
  <c r="AF42" i="1" a="1"/>
  <c r="AF36" i="1" a="1"/>
  <c r="AF18" i="1" a="1"/>
  <c r="AF6" i="1" a="1"/>
  <c r="AF41" i="1" a="1"/>
  <c r="AF35" i="1" a="1"/>
  <c r="AF23" i="1" a="1"/>
  <c r="AF11" i="1" a="1"/>
  <c r="AF40" i="1" a="1"/>
  <c r="AF28" i="1" a="1"/>
  <c r="AF16" i="1" a="1"/>
  <c r="AF10" i="1" a="1"/>
  <c r="AD10" i="1" a="1"/>
  <c r="AD4" i="1" a="1"/>
  <c r="AD9" i="1" a="1"/>
  <c r="AD3" i="1" a="1"/>
  <c r="AD8" i="1" a="1"/>
  <c r="AD2" i="1" a="1"/>
  <c r="AD7" i="1" a="1"/>
  <c r="AD6" i="1" a="1"/>
  <c r="AD5" i="1" a="1"/>
  <c r="AB8" i="1" a="1"/>
  <c r="AB2" i="1" a="1"/>
  <c r="AB7" i="1" a="1"/>
  <c r="AB6" i="1" a="1"/>
  <c r="AB5" i="1" a="1"/>
  <c r="AB4" i="1" a="1"/>
  <c r="AB3" i="1" a="1"/>
  <c r="Z7" i="1" a="1"/>
  <c r="Z3" i="1" a="1"/>
  <c r="Z5" i="1" a="1"/>
  <c r="Z2" i="1" a="1"/>
  <c r="Z6" i="1" a="1"/>
  <c r="Z4" i="1" a="1"/>
  <c r="X26" i="1" a="1"/>
  <c r="X25" i="1" a="1"/>
  <c r="X13" i="1" a="1"/>
  <c r="X24" i="1" a="1"/>
  <c r="X18" i="1" a="1"/>
  <c r="X6" i="1" a="1"/>
  <c r="X35" i="1" a="1"/>
  <c r="X29" i="1" a="1"/>
  <c r="X23" i="1" a="1"/>
  <c r="X17" i="1" a="1"/>
  <c r="X11" i="1" a="1"/>
  <c r="X5" i="1" a="1"/>
  <c r="X34" i="1" a="1"/>
  <c r="X28" i="1" a="1"/>
  <c r="X22" i="1" a="1"/>
  <c r="X16" i="1" a="1"/>
  <c r="X10" i="1" a="1"/>
  <c r="X4" i="1" a="1"/>
  <c r="X33" i="1" a="1"/>
  <c r="X27" i="1" a="1"/>
  <c r="X21" i="1" a="1"/>
  <c r="X15" i="1" a="1"/>
  <c r="X9" i="1" a="1"/>
  <c r="X3" i="1" a="1"/>
  <c r="X32" i="1" a="1"/>
  <c r="X20" i="1" a="1"/>
  <c r="X14" i="1" a="1"/>
  <c r="X8" i="1" a="1"/>
  <c r="X2" i="1" a="1"/>
  <c r="X31" i="1" a="1"/>
  <c r="X19" i="1" a="1"/>
  <c r="X7" i="1" a="1"/>
  <c r="X30" i="1" a="1"/>
  <c r="X12" i="1" a="1"/>
  <c r="V11" i="1" a="1"/>
  <c r="V5" i="1" a="1"/>
  <c r="V10" i="1" a="1"/>
  <c r="V4" i="1" a="1"/>
  <c r="V9" i="1" a="1"/>
  <c r="V3" i="1" a="1"/>
  <c r="V8" i="1" a="1"/>
  <c r="V7" i="1" a="1"/>
  <c r="V6" i="1" a="1"/>
  <c r="T25" i="1" a="1"/>
  <c r="T19" i="1" a="1"/>
  <c r="T13" i="1" a="1"/>
  <c r="T7" i="1" a="1"/>
  <c r="T24" i="1" a="1"/>
  <c r="T18" i="1" a="1"/>
  <c r="T12" i="1" a="1"/>
  <c r="T6" i="1" a="1"/>
  <c r="T23" i="1" a="1"/>
  <c r="T17" i="1" a="1"/>
  <c r="T11" i="1" a="1"/>
  <c r="T5" i="1" a="1"/>
  <c r="T22" i="1" a="1"/>
  <c r="T16" i="1" a="1"/>
  <c r="T10" i="1" a="1"/>
  <c r="T4" i="1" a="1"/>
  <c r="T21" i="1" a="1"/>
  <c r="T15" i="1" a="1"/>
  <c r="T9" i="1" a="1"/>
  <c r="T3" i="1" a="1"/>
  <c r="T20" i="1" a="1"/>
  <c r="T14" i="1" a="1"/>
  <c r="T8" i="1" a="1"/>
  <c r="T2" i="1" a="1"/>
  <c r="R36" i="1" a="1"/>
  <c r="R30" i="1" a="1"/>
  <c r="R24" i="1" a="1"/>
  <c r="R18" i="1" a="1"/>
  <c r="R12" i="1" a="1"/>
  <c r="R6" i="1" a="1"/>
  <c r="R35" i="1" a="1"/>
  <c r="R29" i="1" a="1"/>
  <c r="R23" i="1" a="1"/>
  <c r="R17" i="1" a="1"/>
  <c r="R11" i="1" a="1"/>
  <c r="R5" i="1" a="1"/>
  <c r="R34" i="1" a="1"/>
  <c r="R28" i="1" a="1"/>
  <c r="R22" i="1" a="1"/>
  <c r="R16" i="1" a="1"/>
  <c r="R10" i="1" a="1"/>
  <c r="R4" i="1" a="1"/>
  <c r="R33" i="1" a="1"/>
  <c r="R27" i="1" a="1"/>
  <c r="R21" i="1" a="1"/>
  <c r="R15" i="1" a="1"/>
  <c r="R9" i="1" a="1"/>
  <c r="R3" i="1" a="1"/>
  <c r="R32" i="1" a="1"/>
  <c r="R26" i="1" a="1"/>
  <c r="R20" i="1" a="1"/>
  <c r="R14" i="1" a="1"/>
  <c r="R8" i="1" a="1"/>
  <c r="R2" i="1" a="1"/>
  <c r="R31" i="1" a="1"/>
  <c r="R25" i="1" a="1"/>
  <c r="R19" i="1" a="1"/>
  <c r="R13" i="1" a="1"/>
  <c r="R7" i="1" a="1"/>
  <c r="P7" i="1" a="1"/>
  <c r="P6" i="1" a="1"/>
  <c r="P5" i="1" a="1"/>
  <c r="P4" i="1" a="1"/>
  <c r="P3" i="1" a="1"/>
  <c r="P2" i="1" a="1"/>
  <c r="N15" i="1" a="1"/>
  <c r="N9" i="1" a="1"/>
  <c r="N3" i="1" a="1"/>
  <c r="N14" i="1" a="1"/>
  <c r="N8" i="1" a="1"/>
  <c r="N2" i="1" a="1"/>
  <c r="N13" i="1" a="1"/>
  <c r="N7" i="1" a="1"/>
  <c r="N12" i="1" a="1"/>
  <c r="N6" i="1" a="1"/>
  <c r="N11" i="1" a="1"/>
  <c r="N5" i="1" a="1"/>
  <c r="N10" i="1" a="1"/>
  <c r="N4" i="1" a="1"/>
  <c r="L31" i="1" a="1"/>
  <c r="L19" i="1" a="1"/>
  <c r="L13" i="1" a="1"/>
  <c r="L7" i="1" a="1"/>
  <c r="L30" i="1" a="1"/>
  <c r="L24" i="1" a="1"/>
  <c r="L18" i="1" a="1"/>
  <c r="L6" i="1" a="1"/>
  <c r="L29" i="1" a="1"/>
  <c r="L17" i="1" a="1"/>
  <c r="L5" i="1" a="1"/>
  <c r="L22" i="1" a="1"/>
  <c r="L10" i="1" a="1"/>
  <c r="L21" i="1" a="1"/>
  <c r="L9" i="1" a="1"/>
  <c r="L26" i="1" a="1"/>
  <c r="L14" i="1" a="1"/>
  <c r="L2" i="1" a="1"/>
  <c r="L25" i="1" a="1"/>
  <c r="L12" i="1" a="1"/>
  <c r="L23" i="1" a="1"/>
  <c r="L11" i="1" a="1"/>
  <c r="L28" i="1" a="1"/>
  <c r="L16" i="1" a="1"/>
  <c r="L4" i="1" a="1"/>
  <c r="L27" i="1" a="1"/>
  <c r="L15" i="1" a="1"/>
  <c r="L3" i="1" a="1"/>
  <c r="L20" i="1" a="1"/>
  <c r="L8" i="1" a="1"/>
  <c r="J4" i="1" a="1"/>
  <c r="J3" i="1" a="1"/>
  <c r="J2" i="1" a="1"/>
  <c r="H18" i="1" a="1"/>
  <c r="H12" i="1" a="1"/>
  <c r="H6" i="1" a="1"/>
  <c r="H17" i="1" a="1"/>
  <c r="H11" i="1" a="1"/>
  <c r="H5" i="1" a="1"/>
  <c r="H16" i="1" a="1"/>
  <c r="H10" i="1" a="1"/>
  <c r="H4" i="1" a="1"/>
  <c r="H15" i="1" a="1"/>
  <c r="H9" i="1" a="1"/>
  <c r="H3" i="1" a="1"/>
  <c r="H14" i="1" a="1"/>
  <c r="H8" i="1" a="1"/>
  <c r="H2" i="1" a="1"/>
  <c r="H13" i="1" a="1"/>
  <c r="H7" i="1" a="1"/>
  <c r="F20" i="1" a="1"/>
  <c r="F14" i="1" a="1"/>
  <c r="F8" i="1" a="1"/>
  <c r="F2" i="1" a="1"/>
  <c r="F19" i="1" a="1"/>
  <c r="F13" i="1" a="1"/>
  <c r="F7" i="1" a="1"/>
  <c r="F18" i="1" a="1"/>
  <c r="F12" i="1" a="1"/>
  <c r="F6" i="1" a="1"/>
  <c r="F17" i="1" a="1"/>
  <c r="F11" i="1" a="1"/>
  <c r="F5" i="1" a="1"/>
  <c r="F16" i="1" a="1"/>
  <c r="F10" i="1" a="1"/>
  <c r="F4" i="1" a="1"/>
  <c r="F15" i="1" a="1"/>
  <c r="F9" i="1" a="1"/>
  <c r="F3" i="1" a="1"/>
  <c r="D3" i="1" a="1"/>
  <c r="D4" i="1" a="1"/>
  <c r="D5" i="1" a="1"/>
  <c r="D6" i="1" a="1"/>
  <c r="D2" i="1" a="1"/>
  <c r="B3" i="1" a="1"/>
  <c r="B9" i="1" a="1"/>
  <c r="B15" i="1" a="1"/>
  <c r="B21" i="1" a="1"/>
  <c r="B27" i="1" a="1"/>
  <c r="B33" i="1" a="1"/>
  <c r="B39" i="1" a="1"/>
  <c r="B45" i="1" a="1"/>
  <c r="B51" i="1" a="1"/>
  <c r="B57" i="1" a="1"/>
  <c r="B63" i="1" a="1"/>
  <c r="B69" i="1" a="1"/>
  <c r="B75" i="1" a="1"/>
  <c r="B81" i="1" a="1"/>
  <c r="B87" i="1" a="1"/>
  <c r="B93" i="1" a="1"/>
  <c r="B99" i="1" a="1"/>
  <c r="B105" i="1" a="1"/>
  <c r="B111" i="1" a="1"/>
  <c r="B117" i="1" a="1"/>
  <c r="B123" i="1" a="1"/>
  <c r="B129" i="1" a="1"/>
  <c r="B135" i="1" a="1"/>
  <c r="B141" i="1" a="1"/>
  <c r="B147" i="1" a="1"/>
  <c r="B153" i="1" a="1"/>
  <c r="B159" i="1" a="1"/>
  <c r="B165" i="1" a="1"/>
  <c r="B166" i="1" a="1"/>
  <c r="B11" i="1" a="1"/>
  <c r="B23" i="1" a="1"/>
  <c r="B35" i="1" a="1"/>
  <c r="B47" i="1" a="1"/>
  <c r="B59" i="1" a="1"/>
  <c r="B65" i="1" a="1"/>
  <c r="B77" i="1" a="1"/>
  <c r="B89" i="1" a="1"/>
  <c r="B101" i="1" a="1"/>
  <c r="B113" i="1" a="1"/>
  <c r="B125" i="1" a="1"/>
  <c r="B137" i="1" a="1"/>
  <c r="B149" i="1" a="1"/>
  <c r="B161" i="1" a="1"/>
  <c r="B4" i="1" a="1"/>
  <c r="B10" i="1" a="1"/>
  <c r="B16" i="1" a="1"/>
  <c r="B22" i="1" a="1"/>
  <c r="B28" i="1" a="1"/>
  <c r="B34" i="1" a="1"/>
  <c r="B40" i="1" a="1"/>
  <c r="B46" i="1" a="1"/>
  <c r="B52" i="1" a="1"/>
  <c r="B58" i="1" a="1"/>
  <c r="B64" i="1" a="1"/>
  <c r="B70" i="1" a="1"/>
  <c r="B76" i="1" a="1"/>
  <c r="B82" i="1" a="1"/>
  <c r="B88" i="1" a="1"/>
  <c r="B94" i="1" a="1"/>
  <c r="B100" i="1" a="1"/>
  <c r="B106" i="1" a="1"/>
  <c r="B112" i="1" a="1"/>
  <c r="B118" i="1" a="1"/>
  <c r="B124" i="1" a="1"/>
  <c r="B130" i="1" a="1"/>
  <c r="B136" i="1" a="1"/>
  <c r="B142" i="1" a="1"/>
  <c r="B148" i="1" a="1"/>
  <c r="B154" i="1" a="1"/>
  <c r="B160" i="1" a="1"/>
  <c r="B5" i="1" a="1"/>
  <c r="B17" i="1" a="1"/>
  <c r="B29" i="1" a="1"/>
  <c r="B41" i="1" a="1"/>
  <c r="B53" i="1" a="1"/>
  <c r="B71" i="1" a="1"/>
  <c r="B83" i="1" a="1"/>
  <c r="B95" i="1" a="1"/>
  <c r="B107" i="1" a="1"/>
  <c r="B119" i="1" a="1"/>
  <c r="B131" i="1" a="1"/>
  <c r="B143" i="1" a="1"/>
  <c r="B155" i="1" a="1"/>
  <c r="B167" i="1" a="1"/>
  <c r="B6" i="1" a="1"/>
  <c r="B18" i="1" a="1"/>
  <c r="B30" i="1" a="1"/>
  <c r="B42" i="1" a="1"/>
  <c r="B54" i="1" a="1"/>
  <c r="B66" i="1" a="1"/>
  <c r="B78" i="1" a="1"/>
  <c r="B90" i="1" a="1"/>
  <c r="B102" i="1" a="1"/>
  <c r="B114" i="1" a="1"/>
  <c r="B134" i="1" a="1"/>
  <c r="B145" i="1" a="1"/>
  <c r="B156" i="1" a="1"/>
  <c r="B126" i="1" a="1"/>
  <c r="B7" i="1" a="1"/>
  <c r="B19" i="1" a="1"/>
  <c r="B31" i="1" a="1"/>
  <c r="B43" i="1" a="1"/>
  <c r="B55" i="1" a="1"/>
  <c r="B67" i="1" a="1"/>
  <c r="B79" i="1" a="1"/>
  <c r="B91" i="1" a="1"/>
  <c r="B103" i="1" a="1"/>
  <c r="B115" i="1" a="1"/>
  <c r="B146" i="1" a="1"/>
  <c r="B157" i="1" a="1"/>
  <c r="B168" i="1" a="1"/>
  <c r="B127" i="1" a="1"/>
  <c r="B138" i="1" a="1"/>
  <c r="B8" i="1" a="1"/>
  <c r="B20" i="1" a="1"/>
  <c r="B32" i="1" a="1"/>
  <c r="B44" i="1" a="1"/>
  <c r="B56" i="1" a="1"/>
  <c r="B68" i="1" a="1"/>
  <c r="B80" i="1" a="1"/>
  <c r="B92" i="1" a="1"/>
  <c r="B104" i="1" a="1"/>
  <c r="B116" i="1" a="1"/>
  <c r="B158" i="1" a="1"/>
  <c r="B169" i="1" a="1"/>
  <c r="B128" i="1" a="1"/>
  <c r="B139" i="1" a="1"/>
  <c r="B150" i="1" a="1"/>
  <c r="B12" i="1" a="1"/>
  <c r="B24" i="1" a="1"/>
  <c r="B36" i="1" a="1"/>
  <c r="B48" i="1" a="1"/>
  <c r="B60" i="1" a="1"/>
  <c r="B72" i="1" a="1"/>
  <c r="B84" i="1" a="1"/>
  <c r="B96" i="1" a="1"/>
  <c r="B108" i="1" a="1"/>
  <c r="B120" i="1" a="1"/>
  <c r="B13" i="1" a="1"/>
  <c r="B38" i="1" a="1"/>
  <c r="B73" i="1" a="1"/>
  <c r="B98" i="1" a="1"/>
  <c r="B152" i="1" a="1"/>
  <c r="B14" i="1" a="1"/>
  <c r="B132" i="1" a="1"/>
  <c r="B49" i="1" a="1"/>
  <c r="B74" i="1" a="1"/>
  <c r="B109" i="1" a="1"/>
  <c r="B133" i="1" a="1"/>
  <c r="B25" i="1" a="1"/>
  <c r="B50" i="1" a="1"/>
  <c r="B162" i="1" a="1"/>
  <c r="B85" i="1" a="1"/>
  <c r="B110" i="1" a="1"/>
  <c r="B140" i="1" a="1"/>
  <c r="B26" i="1" a="1"/>
  <c r="B163" i="1" a="1"/>
  <c r="B61" i="1" a="1"/>
  <c r="B86" i="1" a="1"/>
  <c r="B121" i="1" a="1"/>
  <c r="B144" i="1" a="1"/>
  <c r="B164" i="1" a="1"/>
  <c r="B37" i="1" a="1"/>
  <c r="B62" i="1" a="1"/>
  <c r="B170" i="1" a="1"/>
  <c r="B97" i="1" a="1"/>
  <c r="B122" i="1" a="1"/>
  <c r="B151" i="1" a="1"/>
  <c r="B2" i="1" a="1"/>
  <c r="V2" i="1" l="1"/>
  <c r="AJ36" i="1"/>
  <c r="AJ4" i="1"/>
  <c r="AJ13" i="1"/>
  <c r="AJ22" i="1"/>
  <c r="AJ28" i="1"/>
  <c r="AJ37" i="1"/>
  <c r="AJ11" i="1"/>
  <c r="AJ41" i="1"/>
  <c r="AJ6" i="1"/>
  <c r="AJ12" i="1"/>
  <c r="AJ18" i="1"/>
  <c r="AJ27" i="1"/>
  <c r="AJ33" i="1"/>
  <c r="AJ42" i="1"/>
  <c r="AJ7" i="1"/>
  <c r="AJ16" i="1"/>
  <c r="AJ25" i="1"/>
  <c r="AJ34" i="1"/>
  <c r="AJ40" i="1"/>
  <c r="AJ5" i="1"/>
  <c r="AJ8" i="1"/>
  <c r="AJ14" i="1"/>
  <c r="AJ20" i="1"/>
  <c r="AJ23" i="1"/>
  <c r="AJ26" i="1"/>
  <c r="AJ29" i="1"/>
  <c r="AJ32" i="1"/>
  <c r="AJ35" i="1"/>
  <c r="AJ44" i="1"/>
  <c r="AJ3" i="1"/>
  <c r="AJ9" i="1"/>
  <c r="AJ15" i="1"/>
  <c r="AJ21" i="1"/>
  <c r="AJ24" i="1"/>
  <c r="AJ30" i="1"/>
  <c r="AJ39" i="1"/>
  <c r="AJ10" i="1"/>
  <c r="AJ19" i="1"/>
  <c r="AJ31" i="1"/>
  <c r="AJ43" i="1"/>
  <c r="AJ2" i="1"/>
  <c r="AJ17" i="1"/>
  <c r="AJ38" i="1"/>
  <c r="AH4" i="1"/>
  <c r="AH10" i="1"/>
  <c r="AH5" i="1"/>
  <c r="AH11" i="1"/>
  <c r="AH6" i="1"/>
  <c r="AH12" i="1"/>
  <c r="AH7" i="1"/>
  <c r="AH13" i="1"/>
  <c r="AH2" i="1"/>
  <c r="AH8" i="1"/>
  <c r="AH14" i="1"/>
  <c r="AH3" i="1"/>
  <c r="AH9" i="1"/>
  <c r="AH15" i="1"/>
  <c r="AF10" i="1"/>
  <c r="AF16" i="1"/>
  <c r="AF28" i="1"/>
  <c r="AF40" i="1"/>
  <c r="AF11" i="1"/>
  <c r="AF23" i="1"/>
  <c r="AF35" i="1"/>
  <c r="AF41" i="1"/>
  <c r="AF6" i="1"/>
  <c r="AF18" i="1"/>
  <c r="AF36" i="1"/>
  <c r="AF42" i="1"/>
  <c r="AF7" i="1"/>
  <c r="AF19" i="1"/>
  <c r="AF31" i="1"/>
  <c r="AF37" i="1"/>
  <c r="AF43" i="1"/>
  <c r="AF8" i="1"/>
  <c r="AF20" i="1"/>
  <c r="AF26" i="1"/>
  <c r="AF38" i="1"/>
  <c r="AF44" i="1"/>
  <c r="AF50" i="1"/>
  <c r="AF3" i="1"/>
  <c r="AF15" i="1"/>
  <c r="AF21" i="1"/>
  <c r="AF27" i="1"/>
  <c r="AF33" i="1"/>
  <c r="AF39" i="1"/>
  <c r="AF45" i="1"/>
  <c r="AF51" i="1"/>
  <c r="AF4" i="1"/>
  <c r="AF22" i="1"/>
  <c r="AF34" i="1"/>
  <c r="AF46" i="1"/>
  <c r="AF5" i="1"/>
  <c r="AF17" i="1"/>
  <c r="AF29" i="1"/>
  <c r="AF47" i="1"/>
  <c r="AF12" i="1"/>
  <c r="AF24" i="1"/>
  <c r="AF30" i="1"/>
  <c r="AF48" i="1"/>
  <c r="AF13" i="1"/>
  <c r="AF25" i="1"/>
  <c r="AF49" i="1"/>
  <c r="AF2" i="1"/>
  <c r="AF14" i="1"/>
  <c r="AF32" i="1"/>
  <c r="AF9" i="1"/>
  <c r="AD5" i="1"/>
  <c r="AD6" i="1"/>
  <c r="AD7" i="1"/>
  <c r="AD2" i="1"/>
  <c r="AD8" i="1"/>
  <c r="AD3" i="1"/>
  <c r="AD9" i="1"/>
  <c r="AD4" i="1"/>
  <c r="AD10" i="1"/>
  <c r="AB3" i="1"/>
  <c r="AB4" i="1"/>
  <c r="AB5" i="1"/>
  <c r="AB6" i="1"/>
  <c r="AB7" i="1"/>
  <c r="AB2" i="1"/>
  <c r="AB8" i="1"/>
  <c r="Z4" i="1"/>
  <c r="Z6" i="1"/>
  <c r="Z2" i="1"/>
  <c r="Z5" i="1"/>
  <c r="Z3" i="1"/>
  <c r="Z7" i="1"/>
  <c r="X12" i="1"/>
  <c r="X30" i="1"/>
  <c r="X7" i="1"/>
  <c r="X19" i="1"/>
  <c r="X31" i="1"/>
  <c r="X2" i="1"/>
  <c r="X8" i="1"/>
  <c r="X14" i="1"/>
  <c r="X20" i="1"/>
  <c r="X32" i="1"/>
  <c r="X3" i="1"/>
  <c r="X9" i="1"/>
  <c r="X15" i="1"/>
  <c r="X21" i="1"/>
  <c r="X27" i="1"/>
  <c r="X33" i="1"/>
  <c r="X4" i="1"/>
  <c r="X10" i="1"/>
  <c r="X16" i="1"/>
  <c r="X22" i="1"/>
  <c r="X28" i="1"/>
  <c r="X34" i="1"/>
  <c r="X5" i="1"/>
  <c r="X11" i="1"/>
  <c r="X17" i="1"/>
  <c r="X23" i="1"/>
  <c r="X29" i="1"/>
  <c r="X35" i="1"/>
  <c r="X6" i="1"/>
  <c r="X18" i="1"/>
  <c r="X24" i="1"/>
  <c r="X13" i="1"/>
  <c r="X25" i="1"/>
  <c r="X26" i="1"/>
  <c r="V6" i="1"/>
  <c r="V7" i="1"/>
  <c r="V8" i="1"/>
  <c r="V3" i="1"/>
  <c r="V9" i="1"/>
  <c r="V4" i="1"/>
  <c r="V10" i="1"/>
  <c r="V5" i="1"/>
  <c r="V11" i="1"/>
  <c r="T2" i="1"/>
  <c r="T8" i="1"/>
  <c r="T14" i="1"/>
  <c r="T20" i="1"/>
  <c r="T3" i="1"/>
  <c r="T9" i="1"/>
  <c r="T15" i="1"/>
  <c r="T21" i="1"/>
  <c r="T4" i="1"/>
  <c r="T10" i="1"/>
  <c r="T16" i="1"/>
  <c r="T22" i="1"/>
  <c r="T5" i="1"/>
  <c r="T11" i="1"/>
  <c r="T17" i="1"/>
  <c r="T23" i="1"/>
  <c r="T6" i="1"/>
  <c r="T12" i="1"/>
  <c r="T18" i="1"/>
  <c r="T24" i="1"/>
  <c r="T7" i="1"/>
  <c r="T13" i="1"/>
  <c r="T19" i="1"/>
  <c r="T25" i="1"/>
  <c r="R7" i="1"/>
  <c r="R13" i="1"/>
  <c r="R19" i="1"/>
  <c r="R25" i="1"/>
  <c r="R31" i="1"/>
  <c r="R2" i="1"/>
  <c r="R8" i="1"/>
  <c r="R14" i="1"/>
  <c r="R20" i="1"/>
  <c r="R26" i="1"/>
  <c r="R32" i="1"/>
  <c r="R3" i="1"/>
  <c r="R9" i="1"/>
  <c r="R15" i="1"/>
  <c r="R21" i="1"/>
  <c r="R27" i="1"/>
  <c r="R33" i="1"/>
  <c r="R4" i="1"/>
  <c r="R10" i="1"/>
  <c r="R16" i="1"/>
  <c r="R22" i="1"/>
  <c r="R28" i="1"/>
  <c r="R34" i="1"/>
  <c r="R5" i="1"/>
  <c r="R11" i="1"/>
  <c r="R17" i="1"/>
  <c r="R23" i="1"/>
  <c r="R29" i="1"/>
  <c r="R35" i="1"/>
  <c r="R6" i="1"/>
  <c r="R12" i="1"/>
  <c r="R18" i="1"/>
  <c r="R24" i="1"/>
  <c r="R30" i="1"/>
  <c r="R36" i="1"/>
  <c r="P2" i="1"/>
  <c r="P3" i="1"/>
  <c r="P4" i="1"/>
  <c r="P5" i="1"/>
  <c r="P6" i="1"/>
  <c r="P7" i="1"/>
  <c r="N4" i="1"/>
  <c r="N10" i="1"/>
  <c r="N5" i="1"/>
  <c r="N11" i="1"/>
  <c r="N6" i="1"/>
  <c r="N12" i="1"/>
  <c r="N7" i="1"/>
  <c r="N13" i="1"/>
  <c r="N2" i="1"/>
  <c r="N8" i="1"/>
  <c r="N14" i="1"/>
  <c r="N3" i="1"/>
  <c r="N9" i="1"/>
  <c r="N15" i="1"/>
  <c r="L8" i="1"/>
  <c r="L20" i="1"/>
  <c r="L3" i="1"/>
  <c r="L15" i="1"/>
  <c r="L27" i="1"/>
  <c r="L4" i="1"/>
  <c r="L16" i="1"/>
  <c r="L28" i="1"/>
  <c r="L11" i="1"/>
  <c r="L23" i="1"/>
  <c r="L12" i="1"/>
  <c r="L25" i="1"/>
  <c r="L2" i="1"/>
  <c r="L14" i="1"/>
  <c r="L26" i="1"/>
  <c r="L9" i="1"/>
  <c r="L21" i="1"/>
  <c r="L10" i="1"/>
  <c r="L22" i="1"/>
  <c r="L5" i="1"/>
  <c r="L17" i="1"/>
  <c r="L29" i="1"/>
  <c r="L6" i="1"/>
  <c r="L18" i="1"/>
  <c r="L24" i="1"/>
  <c r="L30" i="1"/>
  <c r="L7" i="1"/>
  <c r="L13" i="1"/>
  <c r="L19" i="1"/>
  <c r="L31" i="1"/>
  <c r="J2" i="1"/>
  <c r="J3" i="1"/>
  <c r="J4" i="1"/>
  <c r="H7" i="1"/>
  <c r="H13" i="1"/>
  <c r="H2" i="1"/>
  <c r="H8" i="1"/>
  <c r="H14" i="1"/>
  <c r="H3" i="1"/>
  <c r="H9" i="1"/>
  <c r="H15" i="1"/>
  <c r="H4" i="1"/>
  <c r="H10" i="1"/>
  <c r="H16" i="1"/>
  <c r="H5" i="1"/>
  <c r="H11" i="1"/>
  <c r="H17" i="1"/>
  <c r="H6" i="1"/>
  <c r="H12" i="1"/>
  <c r="H18" i="1"/>
  <c r="F3" i="1"/>
  <c r="F9" i="1"/>
  <c r="F15" i="1"/>
  <c r="F4" i="1"/>
  <c r="F10" i="1"/>
  <c r="F16" i="1"/>
  <c r="F5" i="1"/>
  <c r="F11" i="1"/>
  <c r="F17" i="1"/>
  <c r="F6" i="1"/>
  <c r="F12" i="1"/>
  <c r="F18" i="1"/>
  <c r="F7" i="1"/>
  <c r="F13" i="1"/>
  <c r="F19" i="1"/>
  <c r="F2" i="1"/>
  <c r="F8" i="1"/>
  <c r="F14" i="1"/>
  <c r="F20" i="1"/>
  <c r="D6" i="1"/>
  <c r="D5" i="1"/>
  <c r="D4" i="1"/>
  <c r="D3" i="1"/>
  <c r="D2" i="1"/>
  <c r="B151" i="1"/>
  <c r="B122" i="1"/>
  <c r="B97" i="1"/>
  <c r="B170" i="1"/>
  <c r="B62" i="1"/>
  <c r="B37" i="1"/>
  <c r="B164" i="1"/>
  <c r="B144" i="1"/>
  <c r="B121" i="1"/>
  <c r="B86" i="1"/>
  <c r="B61" i="1"/>
  <c r="B163" i="1"/>
  <c r="B26" i="1"/>
  <c r="B140" i="1"/>
  <c r="B110" i="1"/>
  <c r="B85" i="1"/>
  <c r="B162" i="1"/>
  <c r="B50" i="1"/>
  <c r="B25" i="1"/>
  <c r="B133" i="1"/>
  <c r="B109" i="1"/>
  <c r="B74" i="1"/>
  <c r="B49" i="1"/>
  <c r="B132" i="1"/>
  <c r="B14" i="1"/>
  <c r="B152" i="1"/>
  <c r="B98" i="1"/>
  <c r="B73" i="1"/>
  <c r="B38" i="1"/>
  <c r="B13" i="1"/>
  <c r="B120" i="1"/>
  <c r="B108" i="1"/>
  <c r="B96" i="1"/>
  <c r="B84" i="1"/>
  <c r="B72" i="1"/>
  <c r="B60" i="1"/>
  <c r="B48" i="1"/>
  <c r="B36" i="1"/>
  <c r="B24" i="1"/>
  <c r="B12" i="1"/>
  <c r="B150" i="1"/>
  <c r="B139" i="1"/>
  <c r="B128" i="1"/>
  <c r="B169" i="1"/>
  <c r="B158" i="1"/>
  <c r="B116" i="1"/>
  <c r="B104" i="1"/>
  <c r="B92" i="1"/>
  <c r="B80" i="1"/>
  <c r="B68" i="1"/>
  <c r="B56" i="1"/>
  <c r="B44" i="1"/>
  <c r="B32" i="1"/>
  <c r="B20" i="1"/>
  <c r="B8" i="1"/>
  <c r="B138" i="1"/>
  <c r="B127" i="1"/>
  <c r="B168" i="1"/>
  <c r="B157" i="1"/>
  <c r="B146" i="1"/>
  <c r="B115" i="1"/>
  <c r="B103" i="1"/>
  <c r="B91" i="1"/>
  <c r="B79" i="1"/>
  <c r="B67" i="1"/>
  <c r="B55" i="1"/>
  <c r="B43" i="1"/>
  <c r="B31" i="1"/>
  <c r="B19" i="1"/>
  <c r="B7" i="1"/>
  <c r="B126" i="1"/>
  <c r="B156" i="1"/>
  <c r="B145" i="1"/>
  <c r="B134" i="1"/>
  <c r="B114" i="1"/>
  <c r="B102" i="1"/>
  <c r="B90" i="1"/>
  <c r="B78" i="1"/>
  <c r="B66" i="1"/>
  <c r="B54" i="1"/>
  <c r="B42" i="1"/>
  <c r="B30" i="1"/>
  <c r="B18" i="1"/>
  <c r="B6" i="1"/>
  <c r="B167" i="1"/>
  <c r="B155" i="1"/>
  <c r="B143" i="1"/>
  <c r="B131" i="1"/>
  <c r="B119" i="1"/>
  <c r="B107" i="1"/>
  <c r="B95" i="1"/>
  <c r="B83" i="1"/>
  <c r="B71" i="1"/>
  <c r="B53" i="1"/>
  <c r="B41" i="1"/>
  <c r="B29" i="1"/>
  <c r="B17" i="1"/>
  <c r="B5" i="1"/>
  <c r="B160" i="1"/>
  <c r="B154" i="1"/>
  <c r="B148" i="1"/>
  <c r="B142" i="1"/>
  <c r="B136" i="1"/>
  <c r="B130" i="1"/>
  <c r="B124" i="1"/>
  <c r="B118" i="1"/>
  <c r="B112" i="1"/>
  <c r="B106" i="1"/>
  <c r="B100" i="1"/>
  <c r="B94" i="1"/>
  <c r="B88" i="1"/>
  <c r="B82" i="1"/>
  <c r="B76" i="1"/>
  <c r="B70" i="1"/>
  <c r="B64" i="1"/>
  <c r="B58" i="1"/>
  <c r="B52" i="1"/>
  <c r="B46" i="1"/>
  <c r="B40" i="1"/>
  <c r="B34" i="1"/>
  <c r="B28" i="1"/>
  <c r="B22" i="1"/>
  <c r="B16" i="1"/>
  <c r="B10" i="1"/>
  <c r="B4" i="1"/>
  <c r="B161" i="1"/>
  <c r="B149" i="1"/>
  <c r="B137" i="1"/>
  <c r="B125" i="1"/>
  <c r="B113" i="1"/>
  <c r="B101" i="1"/>
  <c r="B89" i="1"/>
  <c r="B77" i="1"/>
  <c r="B65" i="1"/>
  <c r="B59" i="1"/>
  <c r="B47" i="1"/>
  <c r="B35" i="1"/>
  <c r="B23" i="1"/>
  <c r="B11" i="1"/>
  <c r="B166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B9" i="1"/>
  <c r="B3" i="1"/>
  <c r="B2" i="1"/>
  <c r="AK36" i="1" a="1"/>
  <c r="AK33" i="1" a="1"/>
  <c r="AK26" i="1" a="1"/>
  <c r="AK10" i="1" a="1"/>
  <c r="AK7" i="1" a="1"/>
  <c r="AK31" i="1" a="1"/>
  <c r="AK43" i="1" a="1"/>
  <c r="AK3" i="1" a="1"/>
  <c r="AK38" i="1" a="1"/>
  <c r="AK21" i="1" a="1"/>
  <c r="AK4" i="1" a="1"/>
  <c r="AK42" i="1" a="1"/>
  <c r="AK29" i="1" a="1"/>
  <c r="AK19" i="1" a="1"/>
  <c r="AK32" i="1" a="1"/>
  <c r="AK16" i="1" a="1"/>
  <c r="AK35" i="1" a="1"/>
  <c r="AK28" i="1" a="1"/>
  <c r="AK44" i="1" a="1"/>
  <c r="AK2" i="1" a="1"/>
  <c r="AK37" i="1" a="1"/>
  <c r="AK17" i="1" a="1"/>
  <c r="AK40" i="1" a="1"/>
  <c r="AK41" i="1" a="1"/>
  <c r="AK6" i="1" a="1"/>
  <c r="AK14" i="1" a="1"/>
  <c r="AK18" i="1" a="1"/>
  <c r="AK23" i="1" a="1"/>
  <c r="AK13" i="1" a="1"/>
  <c r="AK25" i="1" a="1"/>
  <c r="AK34" i="1" a="1"/>
  <c r="AK11" i="1" a="1"/>
  <c r="AK5" i="1" a="1"/>
  <c r="AK8" i="1" a="1"/>
  <c r="AK24" i="1" a="1"/>
  <c r="AK20" i="1" a="1"/>
  <c r="AK27" i="1" a="1"/>
  <c r="AK22" i="1" a="1"/>
  <c r="AK9" i="1" a="1"/>
  <c r="AK15" i="1" a="1"/>
  <c r="AK12" i="1" a="1"/>
  <c r="AK30" i="1" a="1"/>
  <c r="AK39" i="1" a="1"/>
  <c r="AK39" i="1" l="1"/>
  <c r="AK30" i="1"/>
  <c r="AK12" i="1"/>
  <c r="AK15" i="1"/>
  <c r="AK9" i="1"/>
  <c r="AK22" i="1"/>
  <c r="AK27" i="1"/>
  <c r="AK20" i="1"/>
  <c r="AK24" i="1"/>
  <c r="AK8" i="1"/>
  <c r="AK5" i="1"/>
  <c r="AK11" i="1"/>
  <c r="AK34" i="1"/>
  <c r="AK25" i="1"/>
  <c r="AK13" i="1"/>
  <c r="AK23" i="1"/>
  <c r="AK18" i="1"/>
  <c r="AK14" i="1"/>
  <c r="AK6" i="1"/>
  <c r="AK41" i="1"/>
  <c r="AK40" i="1"/>
  <c r="AK17" i="1"/>
  <c r="AK37" i="1"/>
  <c r="AK2" i="1"/>
  <c r="AK44" i="1"/>
  <c r="AK28" i="1"/>
  <c r="AK35" i="1"/>
  <c r="AK16" i="1"/>
  <c r="AK32" i="1"/>
  <c r="AK19" i="1"/>
  <c r="AK29" i="1"/>
  <c r="AK42" i="1"/>
  <c r="AK4" i="1"/>
  <c r="AK21" i="1"/>
  <c r="AK38" i="1"/>
  <c r="AK3" i="1"/>
  <c r="AK43" i="1"/>
  <c r="AK31" i="1"/>
  <c r="AK7" i="1"/>
  <c r="AK10" i="1"/>
  <c r="AK26" i="1"/>
  <c r="AK33" i="1"/>
  <c r="AK36" i="1"/>
  <c r="AJ1" i="1" l="1"/>
  <c r="AH1" i="1"/>
  <c r="AF1" i="1"/>
  <c r="AD1" i="1"/>
  <c r="AB1" i="1"/>
  <c r="Z1" i="1"/>
  <c r="X1" i="1"/>
  <c r="V1" i="1"/>
  <c r="T1" i="1"/>
  <c r="R1" i="1"/>
  <c r="P1" i="1"/>
  <c r="N1" i="1"/>
  <c r="L1" i="1"/>
  <c r="J1" i="1"/>
  <c r="H1" i="1"/>
  <c r="F1" i="1"/>
  <c r="D1" i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MODUS_DDUFTON</author>
  </authors>
  <commentList>
    <comment ref="A2" authorId="0" shapeId="0" xr:uid="{C7CB50C0-8FFE-4884-93C0-E7A7F70BA14A}">
      <text>
        <r>
          <rPr>
            <b/>
            <sz val="9"/>
            <color indexed="81"/>
            <rFont val="Tahoma"/>
            <family val="2"/>
          </rPr>
          <t>Text50</t>
        </r>
      </text>
    </comment>
    <comment ref="C2" authorId="0" shapeId="0" xr:uid="{E791300B-2433-486E-836B-0E3DD397C37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E2" authorId="0" shapeId="0" xr:uid="{D01033D7-857F-4866-86EA-7E53C1DBCD22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G2" authorId="0" shapeId="0" xr:uid="{3127F592-3FA4-4BFE-AFA9-F5D5FF6122F1}">
      <text>
        <r>
          <rPr>
            <b/>
            <sz val="9"/>
            <color indexed="81"/>
            <rFont val="Tahoma"/>
            <family val="2"/>
          </rPr>
          <t>Option
0: Klassifizierung
1: Suchen</t>
        </r>
      </text>
    </comment>
    <comment ref="I2" authorId="0" shapeId="0" xr:uid="{28EB3697-A241-4840-AAE3-D806FF178052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K2" authorId="0" shapeId="0" xr:uid="{B9A1FDF9-8845-4434-903D-8BBC41E515A8}">
      <text>
        <r>
          <rPr>
            <b/>
            <sz val="9"/>
            <color indexed="81"/>
            <rFont val="Tahoma"/>
            <family val="2"/>
          </rPr>
          <t>Option
0: Klassifizierung
1: Suchen</t>
        </r>
      </text>
    </comment>
    <comment ref="M2" authorId="0" shapeId="0" xr:uid="{48BD57B1-6FC9-4160-8ACC-A6E20C4A7AB4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O2" authorId="0" shapeId="0" xr:uid="{AC0D72CC-416A-4EC3-B98E-AAA7AE4596CC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2" authorId="0" shapeId="0" xr:uid="{D4EF799D-8481-4900-9CF6-5C6C387D819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S2" authorId="0" shapeId="0" xr:uid="{4B69EA74-5858-4620-ADAB-A80B239997D8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U2" authorId="0" shapeId="0" xr:uid="{468935B2-1B59-430C-88CB-CD10596339FE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W2" authorId="0" shapeId="0" xr:uid="{FD04DC3A-613D-4DA6-AE74-B584270E07C4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Y2" authorId="0" shapeId="0" xr:uid="{62E504E3-C16E-47FA-BD55-B79868D7B301}">
      <text>
        <r>
          <rPr>
            <b/>
            <sz val="9"/>
            <color indexed="81"/>
            <rFont val="Tahoma"/>
            <family val="2"/>
          </rPr>
          <t>Option
0: Klassifizierung
1: Suchen</t>
        </r>
      </text>
    </comment>
    <comment ref="AA2" authorId="0" shapeId="0" xr:uid="{0B6E14EA-F192-4647-BEEF-1B261BD3D7A7}">
      <text>
        <r>
          <rPr>
            <b/>
            <sz val="9"/>
            <color indexed="81"/>
            <rFont val="Tahoma"/>
            <family val="2"/>
          </rPr>
          <t>Option
0:  
1: Stückliste-Fertigung
2: Arbeitsplan</t>
        </r>
      </text>
    </comment>
    <comment ref="AC2" authorId="0" shapeId="0" xr:uid="{07981E58-6A45-4EF4-BAE3-F20560B66B91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2" authorId="0" shapeId="0" xr:uid="{298BDCCD-76DF-48D3-9C4B-9E6DD075FDF2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G2" authorId="0" shapeId="0" xr:uid="{BB92748B-47CB-409C-B708-1EC3AF37A4B5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2" authorId="0" shapeId="0" xr:uid="{BB0A7B32-F8CA-4865-928B-F2436BBAEEF0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3" authorId="0" shapeId="0" xr:uid="{22E26CD9-1EB4-4F4C-8549-96BC93C0DA60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C3" authorId="0" shapeId="0" xr:uid="{CAE3A515-7A0D-49A4-92E0-F52C59B5AE8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G3" authorId="0" shapeId="0" xr:uid="{279530B0-A176-4EC9-ACC8-4E35632ADDD9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I3" authorId="0" shapeId="0" xr:uid="{B25AEC3E-C325-481C-A140-0BD53E43B886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K3" authorId="0" shapeId="0" xr:uid="{11882FC5-DB5C-429A-A6CF-CBB6783B66D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M3" authorId="0" shapeId="0" xr:uid="{A5A151D3-A095-4589-BCFE-EAA5A711A39E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O3" authorId="0" shapeId="0" xr:uid="{D567E824-8205-4D79-924E-25310080791E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Q3" authorId="0" shapeId="0" xr:uid="{603570ED-BF53-4E5D-8FBB-394EE3BE879B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S3" authorId="0" shapeId="0" xr:uid="{BB84773E-7531-460A-88DB-99E20DC3C426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U3" authorId="0" shapeId="0" xr:uid="{DCA0F50F-7889-48C9-8136-729EF18EA5DC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W3" authorId="0" shapeId="0" xr:uid="{142EBD68-163A-48AD-92EB-0FCE0DAE4A2A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Y3" authorId="0" shapeId="0" xr:uid="{AB7FCC2B-29BD-4E62-9D1B-F45FED2D47AA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A3" authorId="0" shapeId="0" xr:uid="{F0B8C8C5-3BC1-47CE-B6FA-874043774088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C3" authorId="0" shapeId="0" xr:uid="{8DF2E4FE-E37C-48C0-BDA1-620A13DAFE22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AE3" authorId="0" shapeId="0" xr:uid="{C2C01076-1816-43CA-B5FB-B575912A0F8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G3" authorId="0" shapeId="0" xr:uid="{A41E9847-F34B-4CFC-B03E-CECCF4F59583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AI3" authorId="0" shapeId="0" xr:uid="{58072E1E-AA94-4B6C-8478-9CA7440FDB64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4" authorId="0" shapeId="0" xr:uid="{7BE475B9-4C81-4D38-A68A-EE65B609229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C4" authorId="0" shapeId="0" xr:uid="{CEDF0C55-11A2-4CEF-AA05-DA2CADDD9F86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E4" authorId="0" shapeId="0" xr:uid="{E1ED4D84-1AAF-4682-A931-35CE86B9C1E6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G4" authorId="0" shapeId="0" xr:uid="{95E52804-3BE8-4CD0-A9AC-8836F45FCF4C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I4" authorId="0" shapeId="0" xr:uid="{65031FD7-815C-4165-B124-063E454E66FB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K4" authorId="0" shapeId="0" xr:uid="{B2115303-B8ED-4BB7-BFE1-89919DFC23AC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M4" authorId="0" shapeId="0" xr:uid="{EF407877-5757-465B-9887-E85ACF7E4500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O4" authorId="0" shapeId="0" xr:uid="{E67F6BA5-D5CD-4C28-8CF2-F0C1C6273E82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4" authorId="0" shapeId="0" xr:uid="{662B901A-C82E-4EB6-9014-AC72C2A6C976}">
      <text>
        <r>
          <rPr>
            <b/>
            <sz val="9"/>
            <color indexed="81"/>
            <rFont val="Tahoma"/>
            <family val="2"/>
          </rPr>
          <t>Option
0:  
1: Stückliste-Fertigung
2: Arbeitsplan</t>
        </r>
      </text>
    </comment>
    <comment ref="S4" authorId="0" shapeId="0" xr:uid="{082AA974-B9FF-4AA9-80CB-E4FDC778D485}">
      <text>
        <r>
          <rPr>
            <b/>
            <sz val="9"/>
            <color indexed="81"/>
            <rFont val="Tahoma"/>
            <family val="2"/>
          </rPr>
          <t>Option
0:  
1: Stückliste-Fertigung
2: Arbeitsplan</t>
        </r>
      </text>
    </comment>
    <comment ref="U4" authorId="0" shapeId="0" xr:uid="{8D94115E-55D7-4935-BD56-1841E91F3092}">
      <text>
        <r>
          <rPr>
            <b/>
            <sz val="9"/>
            <color indexed="81"/>
            <rFont val="Tahoma"/>
            <family val="2"/>
          </rPr>
          <t>Option
0:  
1: Stückliste-Fertigung
2: Arbeitsplan</t>
        </r>
      </text>
    </comment>
    <comment ref="W4" authorId="0" shapeId="0" xr:uid="{491C3703-7B59-4363-9D8A-BC9449CBB59D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Y4" authorId="0" shapeId="0" xr:uid="{F0156C52-61FC-49EA-812A-9E573304E7DC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A4" authorId="0" shapeId="0" xr:uid="{25A2FE74-3FEF-4E79-BD1A-2203E34EA55F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C4" authorId="0" shapeId="0" xr:uid="{08F48AD0-0454-402D-9955-A8DA7A8C01B8}">
      <text>
        <r>
          <rPr>
            <b/>
            <sz val="9"/>
            <color indexed="81"/>
            <rFont val="Tahoma"/>
            <family val="2"/>
          </rPr>
          <t>Text50</t>
        </r>
      </text>
    </comment>
    <comment ref="AE4" authorId="0" shapeId="0" xr:uid="{9C93C5DD-D4DA-45FC-BF8F-3EC811398B2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G4" authorId="0" shapeId="0" xr:uid="{57743DDB-344E-47CC-B250-1841C099D681}">
      <text>
        <r>
          <rPr>
            <b/>
            <sz val="9"/>
            <color indexed="81"/>
            <rFont val="Tahoma"/>
            <family val="2"/>
          </rPr>
          <t>Text50</t>
        </r>
      </text>
    </comment>
    <comment ref="AI4" authorId="0" shapeId="0" xr:uid="{88CEBC29-9264-474D-9A49-8A879A3F09CE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5" authorId="0" shapeId="0" xr:uid="{AB9E5202-4DB1-4EC9-A83F-6537C321422C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C5" authorId="0" shapeId="0" xr:uid="{313A43F8-8B31-45E4-9ED4-765A468D8E2D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E5" authorId="0" shapeId="0" xr:uid="{E5165446-52DE-45C1-B16B-BCEDD5BBA120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G5" authorId="0" shapeId="0" xr:uid="{E6BD614B-8EC2-474F-8AC5-5B68BFAE3B66}">
      <text>
        <r>
          <rPr>
            <b/>
            <sz val="9"/>
            <color indexed="81"/>
            <rFont val="Tahoma"/>
            <family val="2"/>
          </rPr>
          <t>Code100</t>
        </r>
      </text>
    </comment>
    <comment ref="K5" authorId="0" shapeId="0" xr:uid="{9D0DF658-446C-4E49-A71F-4F923EB0CE34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M5" authorId="0" shapeId="0" xr:uid="{B3D633F8-A759-4A16-A9EF-8EE5EA62BDA6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O5" authorId="0" shapeId="0" xr:uid="{D24B0539-63A3-402A-99BF-C868EFB15C0F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Q5" authorId="0" shapeId="0" xr:uid="{8FEA655D-21B5-433F-871F-873EDEAF4B51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5" authorId="0" shapeId="0" xr:uid="{54ACF526-2F70-47B8-85FB-F8AE10DAC3EF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
7: Preisgruppen</t>
        </r>
      </text>
    </comment>
    <comment ref="U5" authorId="0" shapeId="0" xr:uid="{1F93DA95-471B-456D-9EF3-9EA3E2DE4216}">
      <text>
        <r>
          <rPr>
            <b/>
            <sz val="9"/>
            <color indexed="81"/>
            <rFont val="Tahoma"/>
            <family val="2"/>
          </rPr>
          <t>Option
0: In Entwicklung
1: Zertifiziert</t>
        </r>
      </text>
    </comment>
    <comment ref="W5" authorId="0" shapeId="0" xr:uid="{42239D60-9894-4B68-8C7F-FA3D5F6E55FE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Y5" authorId="0" shapeId="0" xr:uid="{1BD7F961-C5D1-48C6-869B-283D5A020645}">
      <text>
        <r>
          <rPr>
            <b/>
            <sz val="9"/>
            <color indexed="81"/>
            <rFont val="Tahoma"/>
            <family val="2"/>
          </rPr>
          <t>Option
0:  
1: Ausblenden</t>
        </r>
      </text>
    </comment>
    <comment ref="AA5" authorId="0" shapeId="0" xr:uid="{609F8BE3-523D-42A4-A541-46407BCE1C6F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C5" authorId="0" shapeId="0" xr:uid="{E65757D8-4D4B-4DA3-A063-7B5746001636}">
      <text>
        <r>
          <rPr>
            <b/>
            <sz val="9"/>
            <color indexed="81"/>
            <rFont val="Tahoma"/>
            <family val="2"/>
          </rPr>
          <t>Code100</t>
        </r>
      </text>
    </comment>
    <comment ref="AE5" authorId="0" shapeId="0" xr:uid="{D9B074A7-CCB2-454B-84AB-42686A3A0E0E}">
      <text>
        <r>
          <rPr>
            <b/>
            <sz val="9"/>
            <color indexed="81"/>
            <rFont val="Tahoma"/>
            <family val="2"/>
          </rPr>
          <t>Code30</t>
        </r>
      </text>
    </comment>
    <comment ref="AG5" authorId="0" shapeId="0" xr:uid="{F3E23C18-4A11-40FB-92F9-D718B8472277}">
      <text>
        <r>
          <rPr>
            <b/>
            <sz val="9"/>
            <color indexed="81"/>
            <rFont val="Tahoma"/>
            <family val="2"/>
          </rPr>
          <t>Code100</t>
        </r>
      </text>
    </comment>
    <comment ref="AI5" authorId="0" shapeId="0" xr:uid="{D0EFEF6F-EFEE-4784-8B75-BEEAD53D80EC}">
      <text>
        <r>
          <rPr>
            <b/>
            <sz val="9"/>
            <color indexed="81"/>
            <rFont val="Tahoma"/>
            <family val="2"/>
          </rPr>
          <t>Option
0:  
1: Artikel
2: Fertigungsstückliste</t>
        </r>
      </text>
    </comment>
    <comment ref="A6" authorId="0" shapeId="0" xr:uid="{840AC10F-1390-4F75-A540-EC6F3145A6F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C6" authorId="0" shapeId="0" xr:uid="{FAFB8C1E-5154-45DC-A7AB-13101126F529}">
      <text>
        <r>
          <rPr>
            <b/>
            <sz val="9"/>
            <color indexed="81"/>
            <rFont val="Tahoma"/>
            <family val="2"/>
          </rPr>
          <t>Text50</t>
        </r>
      </text>
    </comment>
    <comment ref="E6" authorId="0" shapeId="0" xr:uid="{C130764A-BE90-4C19-BEDA-293E44B5F88B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G6" authorId="0" shapeId="0" xr:uid="{75BC6F59-DE04-4C11-B2BF-640EF6CE069C}">
      <text>
        <r>
          <rPr>
            <b/>
            <sz val="9"/>
            <color indexed="81"/>
            <rFont val="Tahoma"/>
            <family val="2"/>
          </rPr>
          <t>Option
0: In Entwicklung
1: Zertifiziert</t>
        </r>
      </text>
    </comment>
    <comment ref="K6" authorId="0" shapeId="0" xr:uid="{EF8F61EF-FD2D-49B9-8373-8EE4C0431C61}">
      <text>
        <r>
          <rPr>
            <b/>
            <sz val="9"/>
            <color indexed="81"/>
            <rFont val="Tahoma"/>
            <family val="2"/>
          </rPr>
          <t>Option
0: kann
1: muß für Klassifizierung
2: muß für Variantensystem</t>
        </r>
      </text>
    </comment>
    <comment ref="M6" authorId="0" shapeId="0" xr:uid="{82194064-23FE-4579-B85B-D8440C159C66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O6" authorId="0" shapeId="0" xr:uid="{35B68996-65E3-477E-8466-5BC5C1FCFBE1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Q6" authorId="0" shapeId="0" xr:uid="{F9D55654-BDE2-4B29-AA47-B358099AF393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6" authorId="0" shapeId="0" xr:uid="{B0E944A9-34C1-4DA9-9996-C5073FB7D7B5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U6" authorId="0" shapeId="0" xr:uid="{5B1302D2-3447-4D8F-A733-0D3293E508C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W6" authorId="0" shapeId="0" xr:uid="{D863335F-AEA7-42BF-B5C4-A7FCC4D44846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Y6" authorId="0" shapeId="0" xr:uid="{009B0877-73A6-45CB-9D00-5A3CCD21C759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A6" authorId="0" shapeId="0" xr:uid="{3D1B6F9C-1215-4B1C-B679-F129E578C4B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C6" authorId="0" shapeId="0" xr:uid="{2294E6CA-5208-4D29-AE7E-BB5971CBF552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E6" authorId="0" shapeId="0" xr:uid="{DC6D49D2-3421-4E93-870D-F2625911B6D1}">
      <text>
        <r>
          <rPr>
            <b/>
            <sz val="9"/>
            <color indexed="81"/>
            <rFont val="Tahoma"/>
            <family val="2"/>
          </rPr>
          <t>Code30</t>
        </r>
      </text>
    </comment>
    <comment ref="AG6" authorId="0" shapeId="0" xr:uid="{2640015D-0E20-4EC9-925F-BF24FAC6B07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6" authorId="0" shapeId="0" xr:uid="{28C29731-9585-4492-AD0B-B7D77621B9FE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7" authorId="0" shapeId="0" xr:uid="{44F3566B-7C23-48D8-AF2A-FA0611C7B47A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E7" authorId="0" shapeId="0" xr:uid="{A78AE397-2D9A-43A3-8432-F4D5A70598F4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G7" authorId="0" shapeId="0" xr:uid="{C06AAF07-3FF1-41AA-9D7C-75C3FE7F09D2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K7" authorId="0" shapeId="0" xr:uid="{6E413ACD-8E3D-401B-9349-3AFC74604583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M7" authorId="0" shapeId="0" xr:uid="{A140D204-6E1A-4838-8596-42F156FC0673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O7" authorId="0" shapeId="0" xr:uid="{AF5491DB-5723-4002-BA78-E360D3AEC256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Q7" authorId="0" shapeId="0" xr:uid="{F1C12E5F-7C90-4284-9E5B-4E379EE2E593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7" authorId="0" shapeId="0" xr:uid="{78EFC582-3EBA-4BD9-9870-0DA86B3F9DA6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U7" authorId="0" shapeId="0" xr:uid="{A5E358AC-4D77-477B-818E-ED0A1100F78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W7" authorId="0" shapeId="0" xr:uid="{E08B8DF3-83B8-49B5-B623-62A20CBEB71F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Y7" authorId="0" shapeId="0" xr:uid="{F51C355D-029E-45BF-96BD-5EB7D26F9B16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A7" authorId="0" shapeId="0" xr:uid="{A3CC2109-53DB-4268-B40C-16F2DF23165C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C7" authorId="0" shapeId="0" xr:uid="{C04ECE39-F83D-41CD-ABFD-EAF32C99DB45}">
      <text>
        <r>
          <rPr>
            <b/>
            <sz val="9"/>
            <color indexed="81"/>
            <rFont val="Tahoma"/>
            <family val="2"/>
          </rPr>
          <t>Option
0: Neu
1: Zertifiziert
2: In Entwicklung
3: Abgeschlossen</t>
        </r>
      </text>
    </comment>
    <comment ref="AE7" authorId="0" shapeId="0" xr:uid="{01D48E97-FF6B-49B3-B096-6816D8DECEEF}">
      <text>
        <r>
          <rPr>
            <b/>
            <sz val="9"/>
            <color indexed="81"/>
            <rFont val="Tahoma"/>
            <family val="2"/>
          </rPr>
          <t>Option
0: Arbeitsplatzgruppe
1: Arbeitsplatz
2:</t>
        </r>
      </text>
    </comment>
    <comment ref="AG7" authorId="0" shapeId="0" xr:uid="{FFBF7D2E-F4B8-41E2-82D9-BFF13BAD65FD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7" authorId="0" shapeId="0" xr:uid="{35379C17-177D-4078-A6D0-EF4F66F2255F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A8" authorId="0" shapeId="0" xr:uid="{F8C9EE30-45B0-4778-992F-188FCCB9C89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8" authorId="0" shapeId="0" xr:uid="{8B4B6F26-C41B-4A3F-A736-3CDFC103AF19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G8" authorId="0" shapeId="0" xr:uid="{087ECCE6-EED0-4797-83C1-94E20548864A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K8" authorId="0" shapeId="0" xr:uid="{546152A0-7F78-42A6-938D-1B4267DC7A08}">
      <text>
        <r>
          <rPr>
            <b/>
            <sz val="9"/>
            <color indexed="81"/>
            <rFont val="Tahoma"/>
            <family val="2"/>
          </rPr>
          <t>Option
0: Keine Prüfung
1: Globale Ausprägungen
2: Entscheidungstabelle
3: Nur Klassensatzwert</t>
        </r>
      </text>
    </comment>
    <comment ref="M8" authorId="0" shapeId="0" xr:uid="{BF11B212-59FA-43F6-9BE0-FE11DC05A63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8" authorId="0" shapeId="0" xr:uid="{722D9F70-87F1-46CE-86F5-0109FA3ADEE8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8" authorId="0" shapeId="0" xr:uid="{0A976BCA-66AC-41FD-B894-8710A09A23C1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U8" authorId="0" shapeId="0" xr:uid="{CEDC5AFD-3BB6-42DE-BC98-7235EA4950FF}">
      <text>
        <r>
          <rPr>
            <b/>
            <sz val="9"/>
            <color indexed="81"/>
            <rFont val="Tahoma"/>
            <family val="2"/>
          </rPr>
          <t>Option
0: Standard
1: Prüfung
2: Select
3: Sachmerkmal ausblenden
4: Preisgruppen</t>
        </r>
      </text>
    </comment>
    <comment ref="W8" authorId="0" shapeId="0" xr:uid="{50FE965E-D35E-4D3F-B9D6-0BB335D01C39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A8" authorId="0" shapeId="0" xr:uid="{44DBF058-3BDD-4D27-A852-DAE1578B0530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C8" authorId="0" shapeId="0" xr:uid="{939E9E15-44B0-4EB3-AC2B-C45A260EB7ED}">
      <text>
        <r>
          <rPr>
            <b/>
            <sz val="9"/>
            <color indexed="81"/>
            <rFont val="Tahoma"/>
            <family val="2"/>
          </rPr>
          <t>Option
0: Seriell
1: Parallel</t>
        </r>
      </text>
    </comment>
    <comment ref="AE8" authorId="0" shapeId="0" xr:uid="{1AC641C3-8C01-45E3-B921-5CDD4C415D3A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G8" authorId="0" shapeId="0" xr:uid="{90452BDC-5721-4D46-BA2D-782881828DAE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I8" authorId="0" shapeId="0" xr:uid="{136A1810-C59A-43B4-9E48-A37082A612B3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9" authorId="0" shapeId="0" xr:uid="{FD021FDD-9D3C-4A62-BE03-60E64E2FAC8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9" authorId="0" shapeId="0" xr:uid="{A43DF35E-C52D-47FD-B96B-0768E3E06244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G9" authorId="0" shapeId="0" xr:uid="{2C671D62-E7C0-40DE-853C-6EF8EF3727E0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K9" authorId="0" shapeId="0" xr:uid="{9939DE7E-AC51-498A-A8BF-BE7126110235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M9" authorId="0" shapeId="0" xr:uid="{E5723735-7DC4-4D0F-9228-DE54A4EF8634}">
      <text>
        <r>
          <rPr>
            <b/>
            <sz val="9"/>
            <color indexed="81"/>
            <rFont val="Tahoma"/>
            <family val="2"/>
          </rPr>
          <t>MediaSet</t>
        </r>
      </text>
    </comment>
    <comment ref="Q9" authorId="0" shapeId="0" xr:uid="{46195B58-A1E7-4B0F-A238-08DDB100A07C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9" authorId="0" shapeId="0" xr:uid="{0E2AD632-E7A3-4AFE-9300-3A6091684A58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U9" authorId="0" shapeId="0" xr:uid="{F29F8CE1-C496-41F9-B9D2-F04B8A95AF7B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W9" authorId="0" shapeId="0" xr:uid="{D5941B0D-9AF6-4DA3-BF2A-751CA3A057E6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C9" authorId="0" shapeId="0" xr:uid="{9F711D49-4A0D-4204-A1B2-0AA23EC4A4F9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9" authorId="0" shapeId="0" xr:uid="{1B5310D2-E3B9-4C8C-9685-67DE33CB7C9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G9" authorId="0" shapeId="0" xr:uid="{D6CC5D3A-F80E-42AD-9C12-851745E81865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I9" authorId="0" shapeId="0" xr:uid="{EE250D5F-E53E-4C24-8F05-871F822C313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0" authorId="0" shapeId="0" xr:uid="{060AC76B-E1D7-4988-938F-6451FB441A3E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E10" authorId="0" shapeId="0" xr:uid="{C750781B-27B7-47F4-AAAF-3ECB41B21A75}">
      <text>
        <r>
          <rPr>
            <b/>
            <sz val="9"/>
            <color indexed="81"/>
            <rFont val="Tahoma"/>
            <family val="2"/>
          </rPr>
          <t>Option
0: Numerisch
1: Alphanumerisch</t>
        </r>
      </text>
    </comment>
    <comment ref="G10" authorId="0" shapeId="0" xr:uid="{8D4FC8F6-F102-4F67-897A-3801A593CD62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K10" authorId="0" shapeId="0" xr:uid="{F7C936BC-C069-48C8-9E27-7539A165ACE6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M10" authorId="0" shapeId="0" xr:uid="{B0BDE226-7EB3-46B8-BA52-C1A6766DBDC3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10" authorId="0" shapeId="0" xr:uid="{41C50A60-4C4D-49FB-ABC3-0EE9B0F35D5F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10" authorId="0" shapeId="0" xr:uid="{85570781-6365-4646-9F99-5AB619F4A2D5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U10" authorId="0" shapeId="0" xr:uid="{345388E6-788A-4FF9-85B2-137C86769FEF}">
      <text>
        <r>
          <rPr>
            <b/>
            <sz val="9"/>
            <color indexed="81"/>
            <rFont val="Tahoma"/>
            <family val="2"/>
          </rPr>
          <t>Option
0: Allgemein
1: Speziell</t>
        </r>
      </text>
    </comment>
    <comment ref="W10" authorId="0" shapeId="0" xr:uid="{0068F9BB-A431-43A9-A3C0-F3AACBDE80CD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C10" authorId="0" shapeId="0" xr:uid="{290C278A-ECBF-4780-BDB8-9C32C1325103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10" authorId="0" shapeId="0" xr:uid="{359B02A8-E512-4DD2-B7E8-E1FD75C2B5EC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G10" authorId="0" shapeId="0" xr:uid="{7B061F8B-FE4C-4A39-B3F3-41753B040546}">
      <text>
        <r>
          <rPr>
            <b/>
            <sz val="9"/>
            <color indexed="81"/>
            <rFont val="Tahoma"/>
            <family val="2"/>
          </rPr>
          <t>Option
0: Neu
1: Zertifiziert
2: In Entwicklung
3: Abgeschlossen</t>
        </r>
      </text>
    </comment>
    <comment ref="AI10" authorId="0" shapeId="0" xr:uid="{E28408A2-BA21-413D-8212-18A5557035EC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1" authorId="0" shapeId="0" xr:uid="{90CA524B-81CA-4534-BA24-B33E977EAF50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11" authorId="0" shapeId="0" xr:uid="{536E1C41-959B-4FEF-BA3D-B8C67B65F6DF}">
      <text>
        <r>
          <rPr>
            <b/>
            <sz val="9"/>
            <color indexed="81"/>
            <rFont val="Tahoma"/>
            <family val="2"/>
          </rPr>
          <t>Option
0: Bereich
1: Wert</t>
        </r>
      </text>
    </comment>
    <comment ref="G11" authorId="0" shapeId="0" xr:uid="{46F8AEDD-BA91-4E2E-8184-CBCC01A76C4A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K11" authorId="0" shapeId="0" xr:uid="{32185650-5E05-4C23-AF8A-583B93AA780E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M11" authorId="0" shapeId="0" xr:uid="{33987A0F-5B6C-4114-9979-669D360087ED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11" authorId="0" shapeId="0" xr:uid="{A6BB7C5D-83B1-4B26-8769-887B1006BEE5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11" authorId="0" shapeId="0" xr:uid="{6F002F96-10A1-401C-897C-96C7A4F67C39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U11" authorId="0" shapeId="0" xr:uid="{3EF597E9-90EC-4D4E-88A2-14CB15F0934B}">
      <text>
        <r>
          <rPr>
            <b/>
            <sz val="9"/>
            <color indexed="81"/>
            <rFont val="Tahoma"/>
            <family val="2"/>
          </rPr>
          <t>Text250</t>
        </r>
      </text>
    </comment>
    <comment ref="W11" authorId="0" shapeId="0" xr:uid="{A1E3F934-4173-4165-A348-A334BF0976A0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E11" authorId="0" shapeId="0" xr:uid="{5336D825-63B9-40CB-B729-53FFF02DCEBF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AG11" authorId="0" shapeId="0" xr:uid="{6615F306-A1D6-4E56-AD13-A25108497CFD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11" authorId="0" shapeId="0" xr:uid="{4D4BAD2A-5586-46A9-9BB4-A31C4FE72B3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2" authorId="0" shapeId="0" xr:uid="{7BBE5AC4-6550-435A-B4FE-C99ADDCBE15B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12" authorId="0" shapeId="0" xr:uid="{752AD0C1-F87E-443B-9AB2-4A6C3F45840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G12" authorId="0" shapeId="0" xr:uid="{931803A5-5CE7-42B6-96AD-68FF70322093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2" authorId="0" shapeId="0" xr:uid="{A513243F-76A0-4230-947D-76D7C2FB4FCB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M12" authorId="0" shapeId="0" xr:uid="{217201EE-CEFE-4C28-8BF6-8FC67DC53AF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Q12" authorId="0" shapeId="0" xr:uid="{B273B119-731E-45F0-A57E-6EC42BE7B289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12" authorId="0" shapeId="0" xr:uid="{F7D9A676-9B6F-4C2A-88DD-88475D0B61D3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12" authorId="0" shapeId="0" xr:uid="{EB8A2884-4456-4B39-AFBB-2A642424A07E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E12" authorId="0" shapeId="0" xr:uid="{165571C0-8EC3-45FC-9FFB-1232F020E2C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G12" authorId="0" shapeId="0" xr:uid="{73DFC366-7F2C-4D9B-876C-36EF9F824F1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12" authorId="0" shapeId="0" xr:uid="{27CF1ECE-97E5-4EDD-B0F4-6EAA22E0B69D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3" authorId="0" shapeId="0" xr:uid="{182FEA92-80B5-4205-9A23-EA61BC6EC0D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13" authorId="0" shapeId="0" xr:uid="{1F6E6437-0FFD-435F-90EB-DD6A7DBCDF0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G13" authorId="0" shapeId="0" xr:uid="{0BCF51CD-0160-492D-AEF4-7A493C606296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3" authorId="0" shapeId="0" xr:uid="{C3725273-12FB-4B64-ABDF-464128A8AD91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M13" authorId="0" shapeId="0" xr:uid="{CC6F1331-C309-43C5-BA99-31FB37AD0EC7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Q13" authorId="0" shapeId="0" xr:uid="{D9111502-430A-4875-9EEB-146C5DF706FF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13" authorId="0" shapeId="0" xr:uid="{C9753235-3EAF-4713-8B84-8F62A64C3F95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13" authorId="0" shapeId="0" xr:uid="{84E61C4A-0FC1-4E52-A0B8-8D2FDFE5C50D}">
      <text>
        <r>
          <rPr>
            <b/>
            <sz val="9"/>
            <color indexed="81"/>
            <rFont val="Tahoma"/>
            <family val="2"/>
          </rPr>
          <t>Code200</t>
        </r>
      </text>
    </comment>
    <comment ref="AE13" authorId="0" shapeId="0" xr:uid="{C8391E39-BADE-4BFA-9CC2-28BBF8A3464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G13" authorId="0" shapeId="0" xr:uid="{DF961F92-9000-457C-BE89-D394A654D8DF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I13" authorId="0" shapeId="0" xr:uid="{1AAC8300-14F7-4FE2-8DE9-FAB103EFFA73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14" authorId="0" shapeId="0" xr:uid="{4A517476-62DE-414D-B665-D4D70A1E82E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14" authorId="0" shapeId="0" xr:uid="{FCB02FC6-CAE1-47DA-93DE-8A9B347AE25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G14" authorId="0" shapeId="0" xr:uid="{10E4E3C9-0217-4AB3-8D96-390CDB6D6CEF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4" authorId="0" shapeId="0" xr:uid="{3E33FB16-977F-4E11-A718-2342BD7A5064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M14" authorId="0" shapeId="0" xr:uid="{8E870192-AEE0-419E-A419-565F371E9F80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Q14" authorId="0" shapeId="0" xr:uid="{7FB34B71-88EB-4145-AFE7-CC69E28B2C81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14" authorId="0" shapeId="0" xr:uid="{F2A0D9C3-3202-4B10-A62A-9531758870CF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14" authorId="0" shapeId="0" xr:uid="{9E4E7A43-913A-4088-B72B-CF8568D8B4E2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E14" authorId="0" shapeId="0" xr:uid="{6D78976B-5D68-4929-8151-2D645E88DB0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G14" authorId="0" shapeId="0" xr:uid="{7EE1A723-5EC5-45CE-8B20-94B13FA7D54F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14" authorId="0" shapeId="0" xr:uid="{4BF906C5-C04F-4018-B5B3-4236222CE96D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5" authorId="0" shapeId="0" xr:uid="{B132278C-C6AB-452F-A68B-37792C2E79B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E15" authorId="0" shapeId="0" xr:uid="{7C7B39D1-EB81-4BB3-AA83-4DD74ED4263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G15" authorId="0" shapeId="0" xr:uid="{8B984D8C-CECB-4E0E-A790-0116A231F576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5" authorId="0" shapeId="0" xr:uid="{ED23A796-D3C1-46EF-B6A4-86BFE5926653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M15" authorId="0" shapeId="0" xr:uid="{81123037-0156-420B-AC7D-78302B13AD1E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Q15" authorId="0" shapeId="0" xr:uid="{453F66DD-6740-45E7-9D4E-FD99CFF8AD11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15" authorId="0" shapeId="0" xr:uid="{481AE30B-5713-409C-8D48-5E54C8FFD4C8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15" authorId="0" shapeId="0" xr:uid="{D13C7673-B5B0-4CD9-84D8-D08C155E2EF2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15" authorId="0" shapeId="0" xr:uid="{871F957E-2280-448A-8DBC-F60F7AC7C54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G15" authorId="0" shapeId="0" xr:uid="{13371B28-49A5-4DB7-B729-F8A18826178D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I15" authorId="0" shapeId="0" xr:uid="{A8E84D22-25DF-4115-A687-80252E80E5F7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" authorId="0" shapeId="0" xr:uid="{1BDAA4A5-DA6B-47B3-9680-793B08540F7E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E16" authorId="0" shapeId="0" xr:uid="{C4D00CE4-076D-4EAB-9493-BF37E6BAA45E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G16" authorId="0" shapeId="0" xr:uid="{232E96FF-54A3-4EFA-B8B7-88DB520FFDA9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6" authorId="0" shapeId="0" xr:uid="{B2134C40-14D7-48E7-9173-2181AFF5A56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16" authorId="0" shapeId="0" xr:uid="{7B3A1C4F-5BA2-4FBE-94CB-F0B44E8132D2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16" authorId="0" shapeId="0" xr:uid="{762405FE-2725-47B4-ACA2-472393CE7628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16" authorId="0" shapeId="0" xr:uid="{D41FCBA9-F95B-4156-AD6A-1D24907D281C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16" authorId="0" shapeId="0" xr:uid="{0DC3E9C7-1C13-4916-A03E-1A5335C3D8FC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16" authorId="0" shapeId="0" xr:uid="{D82E43DB-732E-4072-B47D-8E4392E8B752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7" authorId="0" shapeId="0" xr:uid="{EE84489A-3482-4DB7-90C8-0211F3FBB2CF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E17" authorId="0" shapeId="0" xr:uid="{4AFFCAEB-5FFF-4DFD-8A01-867B7F1F0D4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G17" authorId="0" shapeId="0" xr:uid="{A147BECB-786D-4245-AA1B-37CF59893FFC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7" authorId="0" shapeId="0" xr:uid="{0D8B48B3-94B5-4998-99A5-533415A3793E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17" authorId="0" shapeId="0" xr:uid="{C3CC098D-858A-40D0-8C2E-A7813B3748FB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17" authorId="0" shapeId="0" xr:uid="{CA59DB70-2697-407F-A60F-1652D27823E1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17" authorId="0" shapeId="0" xr:uid="{E5A60BBC-C878-4D4E-A7D5-5F2A4CD659AF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17" authorId="0" shapeId="0" xr:uid="{96B00E31-E60C-4028-AAFF-45FF2904B024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17" authorId="0" shapeId="0" xr:uid="{5B2F1671-0530-406D-856F-44453190AF7E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18" authorId="0" shapeId="0" xr:uid="{4D5BAC24-9677-4BA0-8B31-B831D87A120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18" authorId="0" shapeId="0" xr:uid="{1681CC13-D631-4F58-9682-CE0FFFE2DAA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G18" authorId="0" shapeId="0" xr:uid="{D31323C1-47F4-4180-AA1A-31559FD13304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K18" authorId="0" shapeId="0" xr:uid="{87D01B05-8409-4C76-8A57-D4163E413640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18" authorId="0" shapeId="0" xr:uid="{B87188EC-354A-4D7B-A6B4-A0FEDAAF413A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18" authorId="0" shapeId="0" xr:uid="{9FC97541-2246-4364-BC34-1F5D78571562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18" authorId="0" shapeId="0" xr:uid="{A80209EA-AB77-445A-8636-6D67AB7BC943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18" authorId="0" shapeId="0" xr:uid="{9CEE9239-EF02-4A0B-920A-483C0DF43852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18" authorId="0" shapeId="0" xr:uid="{0490EC51-D3F5-44F2-BCE0-6AF7B3E4CDEB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19" authorId="0" shapeId="0" xr:uid="{EF17FD74-84D5-4AB4-80CD-16F6234FDB2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E19" authorId="0" shapeId="0" xr:uid="{D9722755-81E3-462E-8408-5CF7E4AF6F6A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K19" authorId="0" shapeId="0" xr:uid="{CE2B8FD0-4286-40CF-A408-F97B9B64384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19" authorId="0" shapeId="0" xr:uid="{5448504D-A918-4EC8-891C-D366D4E33664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19" authorId="0" shapeId="0" xr:uid="{ABBDFE34-F4FE-41B2-9280-8F8E195CE3BC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19" authorId="0" shapeId="0" xr:uid="{5ABFFAC7-033F-407A-B5BE-E100840C21AD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19" authorId="0" shapeId="0" xr:uid="{1027D9F4-E52F-4BF6-9647-138C4A9C46B5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19" authorId="0" shapeId="0" xr:uid="{DEB85298-F101-4624-96F7-4620414D0B6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20" authorId="0" shapeId="0" xr:uid="{B4FD3268-C983-4A47-9E19-638A020DEBE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E20" authorId="0" shapeId="0" xr:uid="{305A9477-A5C8-43D5-ACE7-9F2E3B42A11D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K20" authorId="0" shapeId="0" xr:uid="{BB5BCFF5-7446-44E5-8C07-CEBA92523D30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0" authorId="0" shapeId="0" xr:uid="{50D2E12B-2441-40AC-A3D6-F448BE0AD15A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20" authorId="0" shapeId="0" xr:uid="{34F16654-40D1-4A51-8D87-F61FCCF5F9F1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20" authorId="0" shapeId="0" xr:uid="{84A666FB-117D-4A0B-A72A-297612627A78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20" authorId="0" shapeId="0" xr:uid="{F4FB2E34-BEC9-459D-A08E-0EA8BD8C02EE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20" authorId="0" shapeId="0" xr:uid="{780BE355-1B87-4372-B5A9-2B49C0B0084B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21" authorId="0" shapeId="0" xr:uid="{38A42A36-10C0-4869-B9FA-30BCF9129F0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K21" authorId="0" shapeId="0" xr:uid="{F479D90A-3B1B-47A6-B36F-DD1E2B6A64D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1" authorId="0" shapeId="0" xr:uid="{771501AA-94A6-4969-BFBE-B96A5AA3AF7D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21" authorId="0" shapeId="0" xr:uid="{012CAFDD-352D-4F72-9DCB-5173D3D6FE97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21" authorId="0" shapeId="0" xr:uid="{E2BD04AC-5F88-41F5-91B2-D3179035348F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21" authorId="0" shapeId="0" xr:uid="{F5E716FE-6185-4955-BC96-B9D4503A139B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21" authorId="0" shapeId="0" xr:uid="{CC196C26-769A-4E75-9692-8858B6EFBC60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22" authorId="0" shapeId="0" xr:uid="{3B647B20-967F-4F06-B48D-83841B9B917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K22" authorId="0" shapeId="0" xr:uid="{98FD538D-768B-46C5-A98F-9A3EA0DD44D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2" authorId="0" shapeId="0" xr:uid="{B321FCC5-B3E5-4030-A0EF-604BF08AC7EB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22" authorId="0" shapeId="0" xr:uid="{45625F8D-EA86-427F-B48A-C8C8C6EEE9AB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22" authorId="0" shapeId="0" xr:uid="{0583E3BA-9662-4FDF-B412-6E81D11C49BF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22" authorId="0" shapeId="0" xr:uid="{E250D591-6EF0-4B09-9B84-469621F5A9A0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22" authorId="0" shapeId="0" xr:uid="{549C64CF-1455-4D39-B1BD-69298ED32F8A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23" authorId="0" shapeId="0" xr:uid="{82E2E5A2-AD7E-43E6-A145-76837B25955C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K23" authorId="0" shapeId="0" xr:uid="{48FCFE69-52CD-43F8-8A84-376C112DF4CA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3" authorId="0" shapeId="0" xr:uid="{D04154BA-95E7-450B-8786-958A49EBA1B1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S23" authorId="0" shapeId="0" xr:uid="{357B9BB6-21CC-40D3-A8E3-F72B894A1165}">
      <text>
        <r>
          <rPr>
            <b/>
            <sz val="9"/>
            <color indexed="81"/>
            <rFont val="Tahoma"/>
            <family val="2"/>
          </rPr>
          <t>Option
0: Sachmerkmal
1: Tabellenfeld
2: NV-Numerische Variable
3: AV-Alphanumerische Variable
4: Ja/Nein
5: Fehler
6: Meldung</t>
        </r>
      </text>
    </comment>
    <comment ref="W23" authorId="0" shapeId="0" xr:uid="{C3A5ED2B-95B8-4AEA-AF3B-EB4649F5D57F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23" authorId="0" shapeId="0" xr:uid="{94321B53-A740-4A24-88B9-E3169A2ABC9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23" authorId="0" shapeId="0" xr:uid="{247090CD-F848-4533-991A-12633B75A4F6}">
      <text>
        <r>
          <rPr>
            <b/>
            <sz val="9"/>
            <color indexed="81"/>
            <rFont val="Tahoma"/>
            <family val="2"/>
          </rPr>
          <t>Option
0:  
1: Länge
2: Länge * Breite
3: Länge * Breite * Tiefe
4: Gewicht</t>
        </r>
      </text>
    </comment>
    <comment ref="A24" authorId="0" shapeId="0" xr:uid="{10180645-ABAD-44BB-AA1B-0D18A23866D8}">
      <text>
        <r>
          <rPr>
            <b/>
            <sz val="9"/>
            <color indexed="81"/>
            <rFont val="Tahoma"/>
            <family val="2"/>
          </rPr>
          <t>Text250</t>
        </r>
      </text>
    </comment>
    <comment ref="K24" authorId="0" shapeId="0" xr:uid="{BF3CC1BE-BDF0-4AF0-9496-055D245ACE79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4" authorId="0" shapeId="0" xr:uid="{CF390580-8706-44CB-BFB8-261A2E355EB6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S24" authorId="0" shapeId="0" xr:uid="{7BE45455-0114-42CD-A2C7-84A03A2C0966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24" authorId="0" shapeId="0" xr:uid="{410C87D7-964E-4F06-B109-18EE821E08E0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24" authorId="0" shapeId="0" xr:uid="{69B1B1CC-022A-469C-95F3-9291434975AA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24" authorId="0" shapeId="0" xr:uid="{AFE3CEA8-19F8-4C70-B336-EADAF5EF2857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25" authorId="0" shapeId="0" xr:uid="{8CCC3795-0E76-4F11-95D2-443EDC3527A3}">
      <text>
        <r>
          <rPr>
            <b/>
            <sz val="9"/>
            <color indexed="81"/>
            <rFont val="Tahoma"/>
            <family val="2"/>
          </rPr>
          <t>DateTime</t>
        </r>
      </text>
    </comment>
    <comment ref="K25" authorId="0" shapeId="0" xr:uid="{8A44C0A5-F920-49D9-A412-30B8CB2159B6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5" authorId="0" shapeId="0" xr:uid="{AF1266A5-F3CE-4E3F-AB69-81B97E3A624C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S25" authorId="0" shapeId="0" xr:uid="{ADAEB20D-D395-4AE0-AF74-4479833D2596}">
      <text>
        <r>
          <rPr>
            <b/>
            <sz val="9"/>
            <color indexed="81"/>
            <rFont val="Tahoma"/>
            <family val="2"/>
          </rPr>
          <t>Text250</t>
        </r>
      </text>
    </comment>
    <comment ref="W25" authorId="0" shapeId="0" xr:uid="{B8CD42C3-8D39-4341-87B1-B7AD8163A89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25" authorId="0" shapeId="0" xr:uid="{1A5BF7DC-362A-41E2-8E28-BABEEE934D5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25" authorId="0" shapeId="0" xr:uid="{9D331F9B-7829-4916-81E4-379FC27EDA1C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26" authorId="0" shapeId="0" xr:uid="{F7A8E5D8-18A6-447A-95A5-3B3F89693782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K26" authorId="0" shapeId="0" xr:uid="{48F22ED5-DEF8-47F7-A0E7-1CEA515B249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26" authorId="0" shapeId="0" xr:uid="{A05E9CEC-621A-4A98-BC84-783380D54D35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W26" authorId="0" shapeId="0" xr:uid="{A19EA7ED-5CFE-4695-9F2D-D08D98A9C464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26" authorId="0" shapeId="0" xr:uid="{72F09A79-DA93-4D7E-8364-CBEECA188AF7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26" authorId="0" shapeId="0" xr:uid="{533BCCE9-A06B-4502-91B9-237AF11A5D9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27" authorId="0" shapeId="0" xr:uid="{7C6A16D0-BDEA-4CFD-8507-0D69BC9CE9F5}">
      <text>
        <r>
          <rPr>
            <b/>
            <sz val="9"/>
            <color indexed="81"/>
            <rFont val="Tahoma"/>
            <family val="2"/>
          </rPr>
          <t>Time</t>
        </r>
      </text>
    </comment>
    <comment ref="K27" authorId="0" shapeId="0" xr:uid="{9AFC32C3-4ED0-4B9D-AD14-64ADD151AA4D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27" authorId="0" shapeId="0" xr:uid="{0DB23CC5-22BE-4C51-A6A8-48746B6DF895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W27" authorId="0" shapeId="0" xr:uid="{CDDA610E-483A-4A9A-B91A-6624037985A9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27" authorId="0" shapeId="0" xr:uid="{9121E221-E1BD-4672-9302-EEE3E0C4175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27" authorId="0" shapeId="0" xr:uid="{88DB6A98-88EA-4312-ACCD-87CA4497546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28" authorId="0" shapeId="0" xr:uid="{DFEBB8AE-2565-4223-9899-44B223DDFCFB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K28" authorId="0" shapeId="0" xr:uid="{203EAFC4-67B6-4036-A2E4-80D48FDF3B5E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Q28" authorId="0" shapeId="0" xr:uid="{F83150AF-BDD2-4FF4-A0DF-F8538AD938E8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28" authorId="0" shapeId="0" xr:uid="{E8434797-6E23-4839-BC7E-92F4AF6B9ED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28" authorId="0" shapeId="0" xr:uid="{0BEE191F-B84C-4998-81CF-42F030CBD689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28" authorId="0" shapeId="0" xr:uid="{A10209AC-D0DD-4398-9C35-9ACED51792B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29" authorId="0" shapeId="0" xr:uid="{88EC65DF-4649-4FAC-AB13-C8DF0E3DCA19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K29" authorId="0" shapeId="0" xr:uid="{6D02A417-D1D3-42F1-847B-B607C0AC4702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Q29" authorId="0" shapeId="0" xr:uid="{807A6FCD-1F8A-47CE-81DF-A1EDA82CEFC5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W29" authorId="0" shapeId="0" xr:uid="{40B0A254-5A91-49C6-BCC4-65F55879E61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29" authorId="0" shapeId="0" xr:uid="{AD6DC143-C03D-4491-AEEF-463D917C9C20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29" authorId="0" shapeId="0" xr:uid="{A7390B7C-182E-477E-8482-D7C2E9127CF2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30" authorId="0" shapeId="0" xr:uid="{EC29E126-3252-45DC-9EA1-CD266FF9E513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K30" authorId="0" shapeId="0" xr:uid="{B2F79FB1-1DC5-4EF2-BCB4-B1666F8E249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30" authorId="0" shapeId="0" xr:uid="{9B837013-D9E1-44A0-9A86-1E8956B3AF0F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W30" authorId="0" shapeId="0" xr:uid="{5A4B7106-6F85-483D-B2EC-A1CC56DDB9A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30" authorId="0" shapeId="0" xr:uid="{8A20490E-FA01-44D5-A542-EAEE456E3492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I30" authorId="0" shapeId="0" xr:uid="{3D3C3D3B-8D07-4FA7-9522-DC2DF6E105E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31" authorId="0" shapeId="0" xr:uid="{D9F0243E-D5CC-4464-978B-7CDB1569A427}">
      <text>
        <r>
          <rPr>
            <b/>
            <sz val="9"/>
            <color indexed="81"/>
            <rFont val="Tahoma"/>
            <family val="2"/>
          </rPr>
          <t>MediaSet</t>
        </r>
      </text>
    </comment>
    <comment ref="K31" authorId="0" shapeId="0" xr:uid="{4E99D9CD-7E0A-4D3D-A481-5349C7A9D8C4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Q31" authorId="0" shapeId="0" xr:uid="{B06A6692-B00D-4DE7-8FB1-491C023529C3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31" authorId="0" shapeId="0" xr:uid="{14FEA7E6-6BB9-4D7C-AC6D-D42E616B459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31" authorId="0" shapeId="0" xr:uid="{53185DCC-1150-48A7-BF69-E0CCFD0C5517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31" authorId="0" shapeId="0" xr:uid="{062F4EDA-8958-4F4E-92BE-D34436B0CB61}">
      <text>
        <r>
          <rPr>
            <b/>
            <sz val="9"/>
            <color indexed="81"/>
            <rFont val="Tahoma"/>
            <family val="2"/>
          </rPr>
          <t>Option
0: Einkauf
1: Fertigungsauftrag
2: Umlagerung
3: Montage
4:</t>
        </r>
      </text>
    </comment>
    <comment ref="A32" authorId="0" shapeId="0" xr:uid="{E1C49EF6-FF03-4D15-89D5-0D2BD7C67FF5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Q32" authorId="0" shapeId="0" xr:uid="{8AF11D40-052C-4330-BA41-DFB2CC840BA4}">
      <text>
        <r>
          <rPr>
            <b/>
            <sz val="9"/>
            <color indexed="81"/>
            <rFont val="Tahoma"/>
            <family val="2"/>
          </rPr>
          <t>Option
0:  
1: Sachmerkmal
2: Tabellenfeld
3: NV-Numerische Variable
4: AV-Alphanumerische Variable
5: Artikelnr.</t>
        </r>
      </text>
    </comment>
    <comment ref="W32" authorId="0" shapeId="0" xr:uid="{1426C9B3-1C40-4236-B002-60A3B6128B22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32" authorId="0" shapeId="0" xr:uid="{A3F80AF2-4284-42DA-B247-35B55B272437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32" authorId="0" shapeId="0" xr:uid="{AE42AEFB-A2C5-48C6-9C5A-7CB9A0A59ED4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33" authorId="0" shapeId="0" xr:uid="{C4B426A6-E746-45A3-AF95-DE4AB8844C3D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Q33" authorId="0" shapeId="0" xr:uid="{76A077A6-D68E-4922-B441-A53AB5BDFA89}">
      <text>
        <r>
          <rPr>
            <b/>
            <sz val="9"/>
            <color indexed="81"/>
            <rFont val="Tahoma"/>
            <family val="2"/>
          </rPr>
          <t>Option
0: = gleich
1: &gt; größer
2: &gt;= größer oder gleich
3: &lt; kleiner
4: &lt;= kleiner oder gleich
5: &lt;&gt; ungleich
6: Wertefilter</t>
        </r>
      </text>
    </comment>
    <comment ref="W33" authorId="0" shapeId="0" xr:uid="{72204C07-DB30-4658-947B-93971A2FE3D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33" authorId="0" shapeId="0" xr:uid="{ED73E07E-16F9-4821-A038-15662999709A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33" authorId="0" shapeId="0" xr:uid="{F09A0627-875A-4723-BBC7-0A9A4EB55C9B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34" authorId="0" shapeId="0" xr:uid="{15BB9B01-2103-466D-AE45-0523E94E0FD2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Q34" authorId="0" shapeId="0" xr:uid="{1EC668CF-A013-4FE9-AF5E-9579CC4A7049}">
      <text>
        <r>
          <rPr>
            <b/>
            <sz val="9"/>
            <color indexed="81"/>
            <rFont val="Tahoma"/>
            <family val="2"/>
          </rPr>
          <t>Text80</t>
        </r>
      </text>
    </comment>
    <comment ref="W34" authorId="0" shapeId="0" xr:uid="{EB32BAD4-73B1-4749-B2A9-55CE1D3F1C8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34" authorId="0" shapeId="0" xr:uid="{BC93B886-F7C4-4BAD-8AB0-D37824D8F3C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34" authorId="0" shapeId="0" xr:uid="{2601F40F-E3EB-4C64-8460-241C7913750D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35" authorId="0" shapeId="0" xr:uid="{CDE4C7C8-9793-4AFA-9A88-0B0882F193B1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Q35" authorId="0" shapeId="0" xr:uid="{3473B3B4-C57C-47DC-AD6E-6BEB74FA5180}">
      <text>
        <r>
          <rPr>
            <b/>
            <sz val="9"/>
            <color indexed="81"/>
            <rFont val="Tahoma"/>
            <family val="2"/>
          </rPr>
          <t>Text250</t>
        </r>
      </text>
    </comment>
    <comment ref="W35" authorId="0" shapeId="0" xr:uid="{F7B75BD8-DCEA-4612-A50C-2DA1D74AED1D}">
      <text>
        <r>
          <rPr>
            <b/>
            <sz val="9"/>
            <color indexed="81"/>
            <rFont val="Tahoma"/>
            <family val="2"/>
          </rPr>
          <t>Code40</t>
        </r>
      </text>
    </comment>
    <comment ref="AE35" authorId="0" shapeId="0" xr:uid="{899E3DD6-E04C-4F3C-B5AD-CD1C671FA045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35" authorId="0" shapeId="0" xr:uid="{2809A7B9-AD84-4A66-BF19-84AD24344B7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36" authorId="0" shapeId="0" xr:uid="{0A8A5A47-84C8-49A1-BD18-8A46DB740635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Q36" authorId="0" shapeId="0" xr:uid="{209EECE1-BF92-4FA6-8528-86458977A2E3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E36" authorId="0" shapeId="0" xr:uid="{964CC46D-80FD-4975-9AA1-4A1A0477EA15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36" authorId="0" shapeId="0" xr:uid="{EA1F6A61-BB14-421D-B8FE-4B343265C5D2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37" authorId="0" shapeId="0" xr:uid="{A3E525C2-6550-4347-949A-B6514390DA86}">
      <text>
        <r>
          <rPr>
            <b/>
            <sz val="9"/>
            <color indexed="81"/>
            <rFont val="Tahoma"/>
            <family val="2"/>
          </rPr>
          <t>Option
0: Nie
1: Optional
2: Immer</t>
        </r>
      </text>
    </comment>
    <comment ref="AE37" authorId="0" shapeId="0" xr:uid="{7F44AA93-8A33-4EBB-B0B8-9DA565ADD76B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I37" authorId="0" shapeId="0" xr:uid="{1AE36D83-E3FF-4A15-B80D-EFB5AC41CF34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38" authorId="0" shapeId="0" xr:uid="{E77BC4BE-7FD6-4C10-9303-F61B4E36963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38" authorId="0" shapeId="0" xr:uid="{02459FB2-DCE8-48D1-9EEA-2777B794F36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I38" authorId="0" shapeId="0" xr:uid="{CB0707AF-B6C5-4175-806A-00ED199F0E9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39" authorId="0" shapeId="0" xr:uid="{21981C3C-D38F-43D2-B75F-E7E5796FFBE9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39" authorId="0" shapeId="0" xr:uid="{896BD86D-18C3-4B1E-9213-5F37A8C9F6B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39" authorId="0" shapeId="0" xr:uid="{E4779471-4D28-4843-9D79-A6801F0CC729}">
      <text>
        <r>
          <rPr>
            <b/>
            <sz val="9"/>
            <color indexed="81"/>
            <rFont val="Tahoma"/>
            <family val="2"/>
          </rPr>
          <t>Option
0: Angebot
1: Auftrag
2: Rechnung
3: Gutschrift
4: Rahmenauftrag
5: Artikel
6: Variantenstückliste
7: 
8: 
9: 
10: IMOS</t>
        </r>
      </text>
    </comment>
    <comment ref="A40" authorId="0" shapeId="0" xr:uid="{A15F83BD-6D9E-4ACE-8588-00C918D6D677}">
      <text>
        <r>
          <rPr>
            <b/>
            <sz val="9"/>
            <color indexed="81"/>
            <rFont val="Tahoma"/>
            <family val="2"/>
          </rPr>
          <t>Option
0: Standard
1: Nein
2: Ja</t>
        </r>
      </text>
    </comment>
    <comment ref="AE40" authorId="0" shapeId="0" xr:uid="{90253E88-B800-464E-B9B9-7FA2091534B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40" authorId="0" shapeId="0" xr:uid="{F653E9DC-7582-4C64-A0CF-803C9627E3C1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41" authorId="0" shapeId="0" xr:uid="{A0836878-331C-4AFB-860A-87CC186CDEF5}">
      <text>
        <r>
          <rPr>
            <b/>
            <sz val="9"/>
            <color indexed="81"/>
            <rFont val="Tahoma"/>
            <family val="2"/>
          </rPr>
          <t>Option
0: Standard
1: Nein
2: Ja</t>
        </r>
      </text>
    </comment>
    <comment ref="AE41" authorId="0" shapeId="0" xr:uid="{52688D6B-2BA9-49BF-B28A-EAE718CB9B8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41" authorId="0" shapeId="0" xr:uid="{59B5530E-930A-4F7C-A3EF-0DE28E0DD9B6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42" authorId="0" shapeId="0" xr:uid="{8ECCB512-BFBC-4917-B9E0-2ACD1DC286CA}">
      <text>
        <r>
          <rPr>
            <b/>
            <sz val="9"/>
            <color indexed="81"/>
            <rFont val="Tahoma"/>
            <family val="2"/>
          </rPr>
          <t>Code128</t>
        </r>
      </text>
    </comment>
    <comment ref="AE42" authorId="0" shapeId="0" xr:uid="{61FCC9EE-C18F-4725-BCC8-F92C5D526D4C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I42" authorId="0" shapeId="0" xr:uid="{AEA2EF08-E1B8-4246-8C37-9019A1D54B40}">
      <text>
        <r>
          <rPr>
            <b/>
            <sz val="9"/>
            <color indexed="81"/>
            <rFont val="Tahoma"/>
            <family val="2"/>
          </rPr>
          <t>Text50</t>
        </r>
      </text>
    </comment>
    <comment ref="A43" authorId="0" shapeId="0" xr:uid="{D9D1E115-B0AD-4BC3-BF73-E2F6D0748C6A}">
      <text>
        <r>
          <rPr>
            <b/>
            <sz val="9"/>
            <color indexed="81"/>
            <rFont val="Tahoma"/>
            <family val="2"/>
          </rPr>
          <t>Option
0: Lagerfertigung
1: Programmfertigung</t>
        </r>
      </text>
    </comment>
    <comment ref="AE43" authorId="0" shapeId="0" xr:uid="{FC97EB29-DB5D-47AC-BD52-AB7C8670C35B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43" authorId="0" shapeId="0" xr:uid="{4F983525-9FAE-48E6-9A99-81B70F36555F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44" authorId="0" shapeId="0" xr:uid="{9DEB2314-8DD8-45B2-B6AF-E06709359AE2}">
      <text>
        <r>
          <rPr>
            <b/>
            <sz val="9"/>
            <color indexed="81"/>
            <rFont val="Tahoma"/>
            <family val="2"/>
          </rPr>
          <t>Code14</t>
        </r>
      </text>
    </comment>
    <comment ref="AE44" authorId="0" shapeId="0" xr:uid="{DE543A8C-0F30-46B2-BA31-8E5E116EA9FF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I44" authorId="0" shapeId="0" xr:uid="{6E1F3211-B8F8-4CAD-8B1F-D85A24DA0B48}">
      <text>
        <r>
          <rPr>
            <b/>
            <sz val="9"/>
            <color indexed="81"/>
            <rFont val="Tahoma"/>
            <family val="2"/>
          </rPr>
          <t>Text20</t>
        </r>
      </text>
    </comment>
    <comment ref="A45" authorId="0" shapeId="0" xr:uid="{635B7E84-F6B0-488E-95D2-54480181E4CA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E45" authorId="0" shapeId="0" xr:uid="{2DDDDB51-53F6-4CD7-AB49-02BA23F5F4BD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46" authorId="0" shapeId="0" xr:uid="{8821B797-DED6-40B2-A99C-55B3C9E2D21A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E46" authorId="0" shapeId="0" xr:uid="{E9ED640C-AA9C-4BCF-A266-51027DDFBD9C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47" authorId="0" shapeId="0" xr:uid="{0F0956A6-E8AB-48F1-9F6C-CBF9F1F2056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47" authorId="0" shapeId="0" xr:uid="{715B6BBD-3815-4504-B96C-16EEAFC68FD1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48" authorId="0" shapeId="0" xr:uid="{6AE042BB-5F31-4850-A8C3-0ECAF96C8608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E48" authorId="0" shapeId="0" xr:uid="{20B3F6ED-EBF8-42D6-A8CD-8BE9B591411F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49" authorId="0" shapeId="0" xr:uid="{18FCFB60-4A0B-4AAF-8442-4E0C18DBBE75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E49" authorId="0" shapeId="0" xr:uid="{9EB77FB1-3F3D-44E1-9666-A07FDFDD20A9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0" authorId="0" shapeId="0" xr:uid="{45D4D604-C841-4EC1-977A-EEFADC5A68C4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50" authorId="0" shapeId="0" xr:uid="{3AAFCBCF-B6C8-46A9-A0E2-C5092C758A8F}">
      <text>
        <r>
          <rPr>
            <b/>
            <sz val="9"/>
            <color indexed="81"/>
            <rFont val="Tahoma"/>
            <family val="2"/>
          </rPr>
          <t>Option
0: Aufwand
1: Dauer</t>
        </r>
      </text>
    </comment>
    <comment ref="A51" authorId="0" shapeId="0" xr:uid="{EA921578-ED66-4B86-A454-7E52E9A535E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E51" authorId="0" shapeId="0" xr:uid="{3873602E-07F8-4663-88EA-E43603171819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2" authorId="0" shapeId="0" xr:uid="{5E361A7A-3F69-4D5E-9C33-44073C167D8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3" authorId="0" shapeId="0" xr:uid="{E86B64EC-F24B-4840-A68A-D3DB788D865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54" authorId="0" shapeId="0" xr:uid="{ACDC38FD-A16F-4484-B022-7020B6605892}">
      <text>
        <r>
          <rPr>
            <b/>
            <sz val="9"/>
            <color indexed="81"/>
            <rFont val="Tahoma"/>
            <family val="2"/>
          </rPr>
          <t>Integer</t>
        </r>
      </text>
    </comment>
    <comment ref="A55" authorId="0" shapeId="0" xr:uid="{3EB3C096-B443-4582-BDA0-CE39A94C557C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6" authorId="0" shapeId="0" xr:uid="{5609EE7A-3480-49A4-B408-1120942C215E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7" authorId="0" shapeId="0" xr:uid="{8CB95CD6-0373-4A3C-86DC-3552AB8E45D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8" authorId="0" shapeId="0" xr:uid="{6E9D9B69-5F95-4E9F-8EBC-0E1144D049D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59" authorId="0" shapeId="0" xr:uid="{EF1C35C8-F3C1-40EE-AEE3-D9A8F09E989D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60" authorId="0" shapeId="0" xr:uid="{102FC322-FA1E-4762-A058-BD8D562540C2}">
      <text>
        <r>
          <rPr>
            <b/>
            <sz val="9"/>
            <color indexed="81"/>
            <rFont val="Tahoma"/>
            <family val="2"/>
          </rPr>
          <t>Option
0: Manuell
1: Vorwärts
2: Rückwärts
3: Kommiss. + Vorwärts
4: Kommiss. + Rückwärts</t>
        </r>
      </text>
    </comment>
    <comment ref="A61" authorId="0" shapeId="0" xr:uid="{06D30DA0-617B-492A-901A-B1F8210C0B56}">
      <text>
        <r>
          <rPr>
            <b/>
            <sz val="9"/>
            <color indexed="81"/>
            <rFont val="Tahoma"/>
            <family val="2"/>
          </rPr>
          <t>Option
0: Einkauf
1: Fertigungsauftrag
2: Umlagerung
3: Montage
4:</t>
        </r>
      </text>
    </comment>
    <comment ref="A62" authorId="0" shapeId="0" xr:uid="{D5D4A0D3-A18B-44C7-9AC5-72FB45309F82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63" authorId="0" shapeId="0" xr:uid="{0687A65A-3AF0-42AC-9B9A-C768D829C489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64" authorId="0" shapeId="0" xr:uid="{269BB456-34C9-427B-AE3D-2599D3AE1260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65" authorId="0" shapeId="0" xr:uid="{44E729AB-D4C6-46EB-9C7A-F4AAF8688BD6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66" authorId="0" shapeId="0" xr:uid="{FD4CECEC-ACFD-43BB-A0B0-DE3DC9266316}">
      <text>
        <r>
          <rPr>
            <b/>
            <sz val="9"/>
            <color indexed="81"/>
            <rFont val="Tahoma"/>
            <family val="2"/>
          </rPr>
          <t>Option
0:  
1: Feste Bestellmenge
2: Auffüllen auf Maximalbestand
3: Auftrag
4: Los-für-Los</t>
        </r>
      </text>
    </comment>
    <comment ref="A67" authorId="0" shapeId="0" xr:uid="{5C2A7FF5-B6A5-47BA-AED5-5F8554CAD099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68" authorId="0" shapeId="0" xr:uid="{26807399-7C6A-4CA7-AE2B-45CC67B19749}">
      <text>
        <r>
          <rPr>
            <b/>
            <sz val="9"/>
            <color indexed="81"/>
            <rFont val="Tahoma"/>
            <family val="2"/>
          </rPr>
          <t>Option
0: Lagerfertigung
1: Auftragsfertigung</t>
        </r>
      </text>
    </comment>
    <comment ref="A69" authorId="0" shapeId="0" xr:uid="{A7ADC542-2565-4808-A525-FD9E381052E2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70" authorId="0" shapeId="0" xr:uid="{16A4937A-9C30-4F3A-BA11-D3A938C03124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71" authorId="0" shapeId="0" xr:uid="{90CFF6A3-5961-47FE-883A-6365929E6CA0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72" authorId="0" shapeId="0" xr:uid="{8019C3C9-ABA0-48EC-95D8-D7C536F73EB8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73" authorId="0" shapeId="0" xr:uid="{45D000AD-8772-4F68-9448-808065C45469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74" authorId="0" shapeId="0" xr:uid="{B4176F17-AF60-4228-842A-34F8F9E4230C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75" authorId="0" shapeId="0" xr:uid="{CBC35731-7EA9-4E58-9382-1C0D741D294B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76" authorId="0" shapeId="0" xr:uid="{40B0E300-9B47-45FC-A8E9-4A3BB95258F7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77" authorId="0" shapeId="0" xr:uid="{8A4535E7-649F-4419-A597-26B8394666BB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78" authorId="0" shapeId="0" xr:uid="{3F9CACFA-8EB9-46E0-BCD4-17052BD77039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79" authorId="0" shapeId="0" xr:uid="{EEC0EDBF-8FBD-441B-884D-D5B97580B70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0" authorId="0" shapeId="0" xr:uid="{54521DC1-8F4D-4AFA-925A-0276EE575FEE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81" authorId="0" shapeId="0" xr:uid="{D7070DDC-282E-4926-B086-E2277AB00177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82" authorId="0" shapeId="0" xr:uid="{47362FDA-796A-482B-890D-5D0A3BF289D8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3" authorId="0" shapeId="0" xr:uid="{18A03552-198A-4B5A-8768-769883DD4538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4" authorId="0" shapeId="0" xr:uid="{FD36C4C4-47A8-40DC-898E-DD55E698A660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5" authorId="0" shapeId="0" xr:uid="{C3490C3C-61AF-4457-BC78-9262C4BB9DDC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6" authorId="0" shapeId="0" xr:uid="{BE56D451-A734-4C12-83B0-FC0F3AB8F919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87" authorId="0" shapeId="0" xr:uid="{AAEE6DFE-95E6-4899-854E-1050B7B487EF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88" authorId="0" shapeId="0" xr:uid="{4A0D2274-13B5-44C2-B6C7-9BD7F87BD46B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89" authorId="0" shapeId="0" xr:uid="{BFEDB14F-2E2D-4E2F-A116-D48167BF635F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90" authorId="0" shapeId="0" xr:uid="{0BC96ADA-A2E9-4118-B4C7-0A0F109AA2EE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91" authorId="0" shapeId="0" xr:uid="{1892B63D-D343-4316-A3E1-D828686F4250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92" authorId="0" shapeId="0" xr:uid="{210EEAE0-0F51-4A55-81D7-B9A3CBD83A4E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93" authorId="0" shapeId="0" xr:uid="{26C25467-0AA7-4D66-955F-FF09C2472256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94" authorId="0" shapeId="0" xr:uid="{07E81BE6-E2D4-4C5F-AD76-B4BF943AD7CF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95" authorId="0" shapeId="0" xr:uid="{D231EA76-AD79-4AB9-8CA7-8FECCDCD857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96" authorId="0" shapeId="0" xr:uid="{9D15EDF8-77BA-4A6E-8522-A31D6A88084A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97" authorId="0" shapeId="0" xr:uid="{6935ABA6-C27E-4682-80FB-EA707DE6FFE7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98" authorId="0" shapeId="0" xr:uid="{5CB5D65D-809D-422E-B784-33C0CBE7C25A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99" authorId="0" shapeId="0" xr:uid="{AEE7C869-34EE-4FEC-8535-30A5306514C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00" authorId="0" shapeId="0" xr:uid="{5450D0EF-8BC0-4583-ABEC-E7B09A194C6B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01" authorId="0" shapeId="0" xr:uid="{1E1C4FBA-6981-4F09-AA99-843B94786C8F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02" authorId="0" shapeId="0" xr:uid="{09D9AB08-5040-4349-B7E3-F128ED60CA7E}">
      <text>
        <r>
          <rPr>
            <b/>
            <sz val="9"/>
            <color indexed="81"/>
            <rFont val="Tahoma"/>
            <family val="2"/>
          </rPr>
          <t>Option
0: keine
1: immer</t>
        </r>
      </text>
    </comment>
    <comment ref="A103" authorId="0" shapeId="0" xr:uid="{82E61D4E-D265-4900-921B-18FAE617C0AE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04" authorId="0" shapeId="0" xr:uid="{F888B80D-3329-4F8E-AFB3-4402D7E5BFD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05" authorId="0" shapeId="0" xr:uid="{91C93002-5799-4049-9045-6E182A6122C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06" authorId="0" shapeId="0" xr:uid="{CEB1CE29-B207-48FF-A5DD-8A269D08C205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107" authorId="0" shapeId="0" xr:uid="{5C7C231B-DF70-46F2-87AA-B4AE596FC8C7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108" authorId="0" shapeId="0" xr:uid="{3DF8E577-8812-43AF-801D-1032B2C69B9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09" authorId="0" shapeId="0" xr:uid="{2C56698E-EC97-4DC2-B4F0-1A2F75B623DA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10" authorId="0" shapeId="0" xr:uid="{E4B20464-0307-42FA-B509-63B38526D60B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11" authorId="0" shapeId="0" xr:uid="{B82D5CA5-CA2C-4E6C-86AF-F7ECCE5ADAAE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12" authorId="0" shapeId="0" xr:uid="{99A82A17-6CD5-425F-A780-2A862E52A049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13" authorId="0" shapeId="0" xr:uid="{FD2E4D57-0916-455A-B5B4-D278B5B8DFC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14" authorId="0" shapeId="0" xr:uid="{6A13D266-D384-46D9-B154-4F2861D4B0CA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15" authorId="0" shapeId="0" xr:uid="{ED6CBC37-E713-42EC-A95A-C851B7DE80B6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16" authorId="0" shapeId="0" xr:uid="{6F5A4603-4150-45E9-B8B3-7B60078198B1}">
      <text>
        <r>
          <rPr>
            <b/>
            <sz val="9"/>
            <color indexed="81"/>
            <rFont val="Tahoma"/>
            <family val="2"/>
          </rPr>
          <t>Text20</t>
        </r>
      </text>
    </comment>
    <comment ref="A117" authorId="0" shapeId="0" xr:uid="{CA5AA94C-76C5-4399-BD2D-476970347FE5}">
      <text>
        <r>
          <rPr>
            <b/>
            <sz val="9"/>
            <color indexed="81"/>
            <rFont val="Tahoma"/>
            <family val="2"/>
          </rPr>
          <t>Text20</t>
        </r>
      </text>
    </comment>
    <comment ref="A118" authorId="0" shapeId="0" xr:uid="{75C95A40-98EA-4DD3-8AC6-2C87186EE78A}">
      <text>
        <r>
          <rPr>
            <b/>
            <sz val="9"/>
            <color indexed="81"/>
            <rFont val="Tahoma"/>
            <family val="2"/>
          </rPr>
          <t>Text20</t>
        </r>
      </text>
    </comment>
    <comment ref="A119" authorId="0" shapeId="0" xr:uid="{E7108B50-B0F4-4F20-97C8-F5AEF2A5F4B3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20" authorId="0" shapeId="0" xr:uid="{97F549BD-3C14-4B65-B409-F54263051D4D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21" authorId="0" shapeId="0" xr:uid="{82DCA245-3828-40B8-A9AE-AA7E13D3510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22" authorId="0" shapeId="0" xr:uid="{7A76F769-2B38-402E-968D-9D64667C6D9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23" authorId="0" shapeId="0" xr:uid="{AFCE1014-085F-4BA5-84CC-56A0D89BB874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24" authorId="0" shapeId="0" xr:uid="{7DBB64D7-47AA-4EF9-95D6-A9DD28C06779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25" authorId="0" shapeId="0" xr:uid="{96DBC01A-D406-4110-8885-319946D845BC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26" authorId="0" shapeId="0" xr:uid="{89AA5FAE-FEFE-4B76-AB1C-F592F038D229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27" authorId="0" shapeId="0" xr:uid="{2AF06D27-64BF-4382-94B2-1E709E3FC639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28" authorId="0" shapeId="0" xr:uid="{FABC8850-2E7C-4D2F-8527-A256842D7DA4}">
      <text>
        <r>
          <rPr>
            <b/>
            <sz val="9"/>
            <color indexed="81"/>
            <rFont val="Tahoma"/>
            <family val="2"/>
          </rPr>
          <t>Option
0:  
1: Ersatzteil
2: Verschleißteil</t>
        </r>
      </text>
    </comment>
    <comment ref="A129" authorId="0" shapeId="0" xr:uid="{2DA5F8AD-E6A5-444D-89FD-172AF52F6994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30" authorId="0" shapeId="0" xr:uid="{1A0A9ADA-539B-4909-99E4-28335F0C287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31" authorId="0" shapeId="0" xr:uid="{82F18B3A-D87B-4BC7-9FCB-BF4513C6084A}">
      <text>
        <r>
          <rPr>
            <b/>
            <sz val="9"/>
            <color indexed="81"/>
            <rFont val="Tahoma"/>
            <family val="2"/>
          </rPr>
          <t>Code50</t>
        </r>
      </text>
    </comment>
    <comment ref="A132" authorId="0" shapeId="0" xr:uid="{B4F6D009-A761-405D-84AC-649B195C6617}">
      <text>
        <r>
          <rPr>
            <b/>
            <sz val="9"/>
            <color indexed="81"/>
            <rFont val="Tahoma"/>
            <family val="2"/>
          </rPr>
          <t>DateTime</t>
        </r>
      </text>
    </comment>
    <comment ref="A133" authorId="0" shapeId="0" xr:uid="{C9E675A1-F898-476E-B5E1-EEDB4B6B30CF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34" authorId="0" shapeId="0" xr:uid="{93677FB6-AA7A-42A1-BB7B-ED3961703B85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35" authorId="0" shapeId="0" xr:uid="{7332C04E-7CF9-4771-9AA8-4F35548DD50F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36" authorId="0" shapeId="0" xr:uid="{2982382A-F649-4EFA-85A0-D7BBB82D9755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37" authorId="0" shapeId="0" xr:uid="{12D6CF2B-1501-41AC-8742-F5F4172563D4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38" authorId="0" shapeId="0" xr:uid="{89470B58-49D0-4464-AB00-5D2F5A4D1B21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39" authorId="0" shapeId="0" xr:uid="{605D3D96-7D65-4F53-9CFF-3E987FD25CE4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40" authorId="0" shapeId="0" xr:uid="{924BE8DC-5B7E-4444-B20C-F5A33585E035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41" authorId="0" shapeId="0" xr:uid="{4F6DB1F6-2E1E-4B08-A611-80128D0247F7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42" authorId="0" shapeId="0" xr:uid="{535D05A4-60F6-4CF3-823C-E4C76EEC3D7C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43" authorId="0" shapeId="0" xr:uid="{12F72EB4-AC19-4D5A-BE55-502A22ED8C71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44" authorId="0" shapeId="0" xr:uid="{E8F1F086-823B-4AE4-A979-25FC698511F8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45" authorId="0" shapeId="0" xr:uid="{EC32F325-3BAD-49B6-8D55-60D7D11BF71A}">
      <text>
        <r>
          <rPr>
            <b/>
            <sz val="9"/>
            <color indexed="81"/>
            <rFont val="Tahoma"/>
            <family val="2"/>
          </rPr>
          <t>DateFormula</t>
        </r>
      </text>
    </comment>
    <comment ref="A146" authorId="0" shapeId="0" xr:uid="{578874EC-D086-43EE-AB1F-18C6556FE892}">
      <text>
        <r>
          <rPr>
            <b/>
            <sz val="9"/>
            <color indexed="81"/>
            <rFont val="Tahoma"/>
            <family val="2"/>
          </rPr>
          <t>Date</t>
        </r>
      </text>
    </comment>
    <comment ref="A147" authorId="0" shapeId="0" xr:uid="{0B912890-4485-4FFD-A27F-8A1B18BABE7B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48" authorId="0" shapeId="0" xr:uid="{2F344394-59D8-4110-AC1D-A3FE6F875705}">
      <text>
        <r>
          <rPr>
            <b/>
            <sz val="9"/>
            <color indexed="81"/>
            <rFont val="Tahoma"/>
            <family val="2"/>
          </rPr>
          <t>Code10</t>
        </r>
      </text>
    </comment>
    <comment ref="A149" authorId="0" shapeId="0" xr:uid="{6C2FB92F-16D0-4107-BD5B-F680608CD0CE}">
      <text>
        <r>
          <rPr>
            <b/>
            <sz val="9"/>
            <color indexed="81"/>
            <rFont val="Tahoma"/>
            <family val="2"/>
          </rPr>
          <t>Option
0: Prüfpflichtig
1: 
2: 
3: Nicht prüfpflichtig</t>
        </r>
      </text>
    </comment>
    <comment ref="A150" authorId="0" shapeId="0" xr:uid="{772478B3-130E-4451-8174-69DAA2959EE2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51" authorId="0" shapeId="0" xr:uid="{E63CFF04-5820-42E4-BFCA-C8E45291F99F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52" authorId="0" shapeId="0" xr:uid="{DA012FDC-86A3-40AB-A7C8-BCD60228CEE2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53" authorId="0" shapeId="0" xr:uid="{10C3078B-E573-46A3-8B2D-793DED969437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154" authorId="0" shapeId="0" xr:uid="{2D7606A9-552C-4727-BBE4-73C7AA8BD652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155" authorId="0" shapeId="0" xr:uid="{5390D80B-CABC-4893-A254-F6F3518BB4A5}">
      <text>
        <r>
          <rPr>
            <b/>
            <sz val="9"/>
            <color indexed="81"/>
            <rFont val="Tahoma"/>
            <family val="2"/>
          </rPr>
          <t>GUID</t>
        </r>
      </text>
    </comment>
    <comment ref="A156" authorId="0" shapeId="0" xr:uid="{723394F7-0467-458D-91D5-8B9C781C7D7E}">
      <text>
        <r>
          <rPr>
            <b/>
            <sz val="9"/>
            <color indexed="81"/>
            <rFont val="Tahoma"/>
            <family val="2"/>
          </rPr>
          <t>Text100</t>
        </r>
      </text>
    </comment>
    <comment ref="A157" authorId="0" shapeId="0" xr:uid="{71B06172-81AD-433C-B263-42AE51B68C01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58" authorId="0" shapeId="0" xr:uid="{6CF0B3B3-4FFF-4F58-8EAD-EFCD68906633}">
      <text>
        <r>
          <rPr>
            <b/>
            <sz val="9"/>
            <color indexed="81"/>
            <rFont val="Tahoma"/>
            <family val="2"/>
          </rPr>
          <t>Code20</t>
        </r>
      </text>
    </comment>
    <comment ref="A159" authorId="0" shapeId="0" xr:uid="{66F995BA-DA36-4454-AE84-3900048DF0D5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0" authorId="0" shapeId="0" xr:uid="{A04D673F-2BAE-41C4-8D8F-F0F135A09DFA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1" authorId="0" shapeId="0" xr:uid="{5E6FB3D6-FDEB-4D8C-8CAB-40676922CA1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2" authorId="0" shapeId="0" xr:uid="{FC4D2830-D668-4DB6-9130-FC5A38374583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3" authorId="0" shapeId="0" xr:uid="{420912B2-9985-47DA-B8A6-274EEEF2CE5D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4" authorId="0" shapeId="0" xr:uid="{DB55CF88-26D8-405A-B5EE-52D1DA13B512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5" authorId="0" shapeId="0" xr:uid="{1CAE008E-6A85-4AD7-8553-599E7D15C69C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6" authorId="0" shapeId="0" xr:uid="{AEE9E512-DAA9-4158-9B4D-94C6D1A53BC0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7" authorId="0" shapeId="0" xr:uid="{FDBADD0D-AE46-401C-B0E7-F413507F9CE1}">
      <text>
        <r>
          <rPr>
            <b/>
            <sz val="9"/>
            <color indexed="81"/>
            <rFont val="Tahoma"/>
            <family val="2"/>
          </rPr>
          <t>Decimal</t>
        </r>
      </text>
    </comment>
    <comment ref="A168" authorId="0" shapeId="0" xr:uid="{E82C2E64-5BE6-4FE9-9DA0-295283DFE7DB}">
      <text>
        <r>
          <rPr>
            <b/>
            <sz val="9"/>
            <color indexed="81"/>
            <rFont val="Tahoma"/>
            <family val="2"/>
          </rPr>
          <t>Option
0: Keine
1: Nur Bedarfsverursacher
2: Bedarfsverursacher &amp; Ereignismeldung</t>
        </r>
      </text>
    </comment>
    <comment ref="A169" authorId="0" shapeId="0" xr:uid="{F209BF7C-C733-4C52-A183-7E2D81ED4E2F}">
      <text>
        <r>
          <rPr>
            <b/>
            <sz val="9"/>
            <color indexed="81"/>
            <rFont val="Tahoma"/>
            <family val="2"/>
          </rPr>
          <t>Boolean</t>
        </r>
      </text>
    </comment>
    <comment ref="A170" authorId="0" shapeId="0" xr:uid="{50D9F799-4652-45B8-912E-B1887E46755F}">
      <text>
        <r>
          <rPr>
            <b/>
            <sz val="9"/>
            <color indexed="81"/>
            <rFont val="Tahoma"/>
            <family val="2"/>
          </rPr>
          <t>Code20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<sst xmlns="http://schemas.openxmlformats.org/spreadsheetml/2006/main" count="513" uniqueCount="419">
  <si>
    <t>Kred.-Artikelnr.</t>
  </si>
  <si>
    <t>Beschaffungszeit</t>
  </si>
  <si>
    <t>Meldebestand</t>
  </si>
  <si>
    <t>Maximalbestand</t>
  </si>
  <si>
    <t>Bestellmenge</t>
  </si>
  <si>
    <t>Alternative Artikelnr.</t>
  </si>
  <si>
    <t>Richtpreis</t>
  </si>
  <si>
    <t>Abgabenteil %</t>
  </si>
  <si>
    <t>Abgabencode</t>
  </si>
  <si>
    <t>Bruttogewicht</t>
  </si>
  <si>
    <t>Nettogewicht</t>
  </si>
  <si>
    <t>Anzahl pro Paket</t>
  </si>
  <si>
    <t>Volumen</t>
  </si>
  <si>
    <t>Haltbarkeit</t>
  </si>
  <si>
    <t>Frachtform</t>
  </si>
  <si>
    <t>Zollpos.</t>
  </si>
  <si>
    <t>Zollfaktor</t>
  </si>
  <si>
    <t>Herkunftsland/-region</t>
  </si>
  <si>
    <t>Budgetierte Menge</t>
  </si>
  <si>
    <t>Budgetierter Betrag</t>
  </si>
  <si>
    <t>Budgetierter DB</t>
  </si>
  <si>
    <t>Gesperrt</t>
  </si>
  <si>
    <t>Sperrungsgrund</t>
  </si>
  <si>
    <t>Datum/Uhrzeit der letzten Änderung</t>
  </si>
  <si>
    <t>Korrigiert am</t>
  </si>
  <si>
    <t>Korrigiert um</t>
  </si>
  <si>
    <t>VK-Preis inkl. MwSt.</t>
  </si>
  <si>
    <t>MwSt.-Geschäftsbuch.-G. (Preis)</t>
  </si>
  <si>
    <t>Produktbuchungsgruppe</t>
  </si>
  <si>
    <t>Bild</t>
  </si>
  <si>
    <t>Ursprungsland/-region</t>
  </si>
  <si>
    <t>Automat. Textbaustein</t>
  </si>
  <si>
    <t>Nummernserie</t>
  </si>
  <si>
    <t>Steuergruppencode</t>
  </si>
  <si>
    <t>MwSt.-Produktbuchungsgruppe</t>
  </si>
  <si>
    <t>Reservieren</t>
  </si>
  <si>
    <t>Globaler Dimensionscode 1</t>
  </si>
  <si>
    <t>Globaler Dimensionscode 2</t>
  </si>
  <si>
    <t>Bestandswarnung</t>
  </si>
  <si>
    <t>Negativen Lagerbestand verhindern</t>
  </si>
  <si>
    <t>Benutzer-ID für Ausgleichsvorschlag</t>
  </si>
  <si>
    <t>Montagerichtlinie</t>
  </si>
  <si>
    <t>GTIN</t>
  </si>
  <si>
    <t>Standard-Abgrenzungsvorlagencode</t>
  </si>
  <si>
    <t>Stücklistenebene</t>
  </si>
  <si>
    <t>Losgröße</t>
  </si>
  <si>
    <t>Seriennummern</t>
  </si>
  <si>
    <t>Datum letzte Einst.-Preisber.</t>
  </si>
  <si>
    <t>Mehrstufige Materialkosten</t>
  </si>
  <si>
    <t>Mehrstufige Kapazitätskosten</t>
  </si>
  <si>
    <t>Ausschuss %</t>
  </si>
  <si>
    <t>Ohne Lagerbewertung</t>
  </si>
  <si>
    <t>Anzahl Zyklen zusammenfassen</t>
  </si>
  <si>
    <t>Minimale Losgröße</t>
  </si>
  <si>
    <t>Maximale Losgröße</t>
  </si>
  <si>
    <t>Sicherheitsbestand</t>
  </si>
  <si>
    <t>Losgrößenrundungsfaktor</t>
  </si>
  <si>
    <t>Sicherh.-Zuschl. Beschaff.-Zt.</t>
  </si>
  <si>
    <t>Buchungsmethode</t>
  </si>
  <si>
    <t>Beschaffungsmethode</t>
  </si>
  <si>
    <t>Rundungspräzision</t>
  </si>
  <si>
    <t>Verkaufseinheitencode</t>
  </si>
  <si>
    <t>Einkaufseinheitencode</t>
  </si>
  <si>
    <t>Zeitrahmen</t>
  </si>
  <si>
    <t>Wiederbeschaffungsverfahren</t>
  </si>
  <si>
    <t>Lagerbestand berücksichtigen</t>
  </si>
  <si>
    <t>Produktionsart</t>
  </si>
  <si>
    <t>Neuplanungsperiode</t>
  </si>
  <si>
    <t>Loskumulierungsperiode</t>
  </si>
  <si>
    <t>Toleranzperiode</t>
  </si>
  <si>
    <t>Toleranzmenge</t>
  </si>
  <si>
    <t>Überlauflevel</t>
  </si>
  <si>
    <t>Herstellercode</t>
  </si>
  <si>
    <t>Artikelkategoriencode</t>
  </si>
  <si>
    <t>Aus Katalogartikel erstellt</t>
  </si>
  <si>
    <t>Einkaufscode</t>
  </si>
  <si>
    <t>Serviceartikelgruppe</t>
  </si>
  <si>
    <t>Artikelverfolgungscode</t>
  </si>
  <si>
    <t>Chargennummern</t>
  </si>
  <si>
    <t>Ablaufdatumsformel</t>
  </si>
  <si>
    <t>Lagerklassencode</t>
  </si>
  <si>
    <t>Lagerhilfsmittelcode</t>
  </si>
  <si>
    <t>Einlagerungsvorlagencode</t>
  </si>
  <si>
    <t>Einlagerungseinheitencode</t>
  </si>
  <si>
    <t>Inventurhäufigkeitscode</t>
  </si>
  <si>
    <t>Letzte Aktual. Inv.-Häufigkeit</t>
  </si>
  <si>
    <t>Zuordnung verwenden</t>
  </si>
  <si>
    <t>Startdatum der nächsten Inventur</t>
  </si>
  <si>
    <t>Enddatum der nächsten Inventur</t>
  </si>
  <si>
    <t>ID</t>
  </si>
  <si>
    <t>Einheitenkennung</t>
  </si>
  <si>
    <t>Steuergruppen-ID</t>
  </si>
  <si>
    <t>Verkauf gesperrt</t>
  </si>
  <si>
    <t>Einkauf gesperrt</t>
  </si>
  <si>
    <t>Artikelkategorie-ID</t>
  </si>
  <si>
    <t>Eingangsüberschusscode</t>
  </si>
  <si>
    <t>Hat Umsatzplanung</t>
  </si>
  <si>
    <t>Platzhalter</t>
  </si>
  <si>
    <t>Klassencode</t>
  </si>
  <si>
    <t>Generiert</t>
  </si>
  <si>
    <t>Variantenleiste einblenden</t>
  </si>
  <si>
    <t>Gefilterte Variantenausprägung</t>
  </si>
  <si>
    <t>Modell</t>
  </si>
  <si>
    <t>Zuordnungspflichtig</t>
  </si>
  <si>
    <t>Startdatum</t>
  </si>
  <si>
    <t>Enddatum</t>
  </si>
  <si>
    <t>Länge (mm)</t>
  </si>
  <si>
    <t>Breite (mm)</t>
  </si>
  <si>
    <t>Stärke (mm)</t>
  </si>
  <si>
    <t>Set</t>
  </si>
  <si>
    <t>Unterpositionen generieren</t>
  </si>
  <si>
    <t>Wertenfilter</t>
  </si>
  <si>
    <t>Beschreibungen generieren</t>
  </si>
  <si>
    <t>Belegmenge</t>
  </si>
  <si>
    <t>Ausfuhrlistennr.</t>
  </si>
  <si>
    <t>Dual-Use Nr.</t>
  </si>
  <si>
    <t>ECCN</t>
  </si>
  <si>
    <t>Sachmerkmale drucken</t>
  </si>
  <si>
    <t>Verkauf Preisschemacode</t>
  </si>
  <si>
    <t>Einkauf Preisschemacode</t>
  </si>
  <si>
    <t>Einkauf Berechnungspreiscode</t>
  </si>
  <si>
    <t>Verkauf Berechnungspreiscode</t>
  </si>
  <si>
    <t>Verkauf Preisstücklistennr.</t>
  </si>
  <si>
    <t>Einkauf Preisstücklistennr.</t>
  </si>
  <si>
    <t>Verw. Preisfindung für Fremdarbeit</t>
  </si>
  <si>
    <t>Prognosekategoriecode</t>
  </si>
  <si>
    <t>Austauschart</t>
  </si>
  <si>
    <t>Projektartikel</t>
  </si>
  <si>
    <t>Projektlagerort</t>
  </si>
  <si>
    <t>Letzte Einstandspreisberechnung von</t>
  </si>
  <si>
    <t>Letzte Einstandspreisberechnung am</t>
  </si>
  <si>
    <t>Kalkulationsgruppencode</t>
  </si>
  <si>
    <t>Kalkulationszuschlagscode</t>
  </si>
  <si>
    <t>Kalkulierte Einstandskosten</t>
  </si>
  <si>
    <t>Kalkulationsvorlage</t>
  </si>
  <si>
    <t>Kalkulationslosgröße</t>
  </si>
  <si>
    <t>Artikelpostenstatuscode</t>
  </si>
  <si>
    <t>Dispositionsgruppencode</t>
  </si>
  <si>
    <t>Colli</t>
  </si>
  <si>
    <t>Packstückgruppencode</t>
  </si>
  <si>
    <t>Menge ignorieren für Packstückbildung</t>
  </si>
  <si>
    <t>Colli Komponente</t>
  </si>
  <si>
    <t>Det. Collis erzeugen</t>
  </si>
  <si>
    <t>Planungszeitraum</t>
  </si>
  <si>
    <t>Nächstes Planungsdatum</t>
  </si>
  <si>
    <t>Einkaufsliefertoleranzencode</t>
  </si>
  <si>
    <t>Verkaufsliefertoleranzencode</t>
  </si>
  <si>
    <t>QCM-Integrationsart</t>
  </si>
  <si>
    <t>Checklistenvorlagecode</t>
  </si>
  <si>
    <t>Artikelstatus</t>
  </si>
  <si>
    <t>Aus externem System</t>
  </si>
  <si>
    <t>Hersteller-ID</t>
  </si>
  <si>
    <t>Fertigungsstücklisten-ID</t>
  </si>
  <si>
    <t>Artikelstatus-ID</t>
  </si>
  <si>
    <t>Zeichnungsnr.</t>
  </si>
  <si>
    <t>Arbeitsplannr.</t>
  </si>
  <si>
    <t>Fert.-Stücklistennr.</t>
  </si>
  <si>
    <t>Einstufige Materialkosten</t>
  </si>
  <si>
    <t>Einstufige Kapazitätskosten</t>
  </si>
  <si>
    <t>Einstufige Fremdarbeitskosten</t>
  </si>
  <si>
    <t>Einstufige Kap.-Gemeinkosten</t>
  </si>
  <si>
    <t>Einstufige Prod.-Gemeinkosten</t>
  </si>
  <si>
    <t>Gemeinkostensatz</t>
  </si>
  <si>
    <t>Mehrstufige Fremdarbeitskosten</t>
  </si>
  <si>
    <t>Mehrstufige Prod.-Gemeinkosten</t>
  </si>
  <si>
    <t>Mehrstufige Kap.-Gemeinkosten</t>
  </si>
  <si>
    <t>Bedarfsverursacherart</t>
  </si>
  <si>
    <t>Kritisch</t>
  </si>
  <si>
    <t>Gemeinsame Artikelnr.</t>
  </si>
  <si>
    <t>Artikel</t>
  </si>
  <si>
    <t>Artikelnr.</t>
  </si>
  <si>
    <t>Variantencode</t>
  </si>
  <si>
    <t>Sprachcode</t>
  </si>
  <si>
    <t>Beschreibung</t>
  </si>
  <si>
    <t>Beschreibung 2</t>
  </si>
  <si>
    <t>Artikelübersetzung</t>
  </si>
  <si>
    <t>Code</t>
  </si>
  <si>
    <t>Def.Klasse</t>
  </si>
  <si>
    <t>Länge</t>
  </si>
  <si>
    <t>Dezimalstellen</t>
  </si>
  <si>
    <t>Geändert am</t>
  </si>
  <si>
    <t>Geändert von</t>
  </si>
  <si>
    <t>Ausprägung leer erlaubt</t>
  </si>
  <si>
    <t>Datentyp</t>
  </si>
  <si>
    <t>Art</t>
  </si>
  <si>
    <t>Standardwert</t>
  </si>
  <si>
    <t>Ausprägung von</t>
  </si>
  <si>
    <t>Ausprägung bis</t>
  </si>
  <si>
    <t>Schrittweite</t>
  </si>
  <si>
    <t>Beschreibung Bereich-Ausprägungen</t>
  </si>
  <si>
    <t>Dimensionsrelevant</t>
  </si>
  <si>
    <t>Druck identisch zum Modell</t>
  </si>
  <si>
    <t>Sachmerkmalsgruppencode</t>
  </si>
  <si>
    <t>Globale Ausprägungen aktual.</t>
  </si>
  <si>
    <t>Sachmerkmal</t>
  </si>
  <si>
    <t>Klassenart</t>
  </si>
  <si>
    <t>Suchbegriff</t>
  </si>
  <si>
    <t>Status</t>
  </si>
  <si>
    <t>Änderung erlaubt</t>
  </si>
  <si>
    <t>Variantennummern</t>
  </si>
  <si>
    <t>Subvarianten Nummern</t>
  </si>
  <si>
    <t>LHD Subvarianten Checksumme</t>
  </si>
  <si>
    <t>Technik Subvarianten Checksumme</t>
  </si>
  <si>
    <t>Verkauf Subvarianten Checksumme</t>
  </si>
  <si>
    <t>Produktion Subvarianten Checksumme</t>
  </si>
  <si>
    <t>Bild Subvarianten Checksumme</t>
  </si>
  <si>
    <t>Export Subvarianten Checksumme</t>
  </si>
  <si>
    <t>Variantenstring Checksumme</t>
  </si>
  <si>
    <t>Klasse</t>
  </si>
  <si>
    <t>Sachmerkmalcode</t>
  </si>
  <si>
    <t>Sachmerkmal Übersetzung</t>
  </si>
  <si>
    <t>Klassensachmerkmal</t>
  </si>
  <si>
    <t>Lfd. Nr.</t>
  </si>
  <si>
    <t>Muß/Kann</t>
  </si>
  <si>
    <t>Eindeutiges Suchen</t>
  </si>
  <si>
    <t>Prüfverfahren</t>
  </si>
  <si>
    <t>Prüfung</t>
  </si>
  <si>
    <t>Ausprägung diskret</t>
  </si>
  <si>
    <t>Abhängig von Sachmerkmal</t>
  </si>
  <si>
    <t>Suchrelevant</t>
  </si>
  <si>
    <t>Druck abhängig von Sachmerkmal</t>
  </si>
  <si>
    <t>Kurzeingabe erlaubt</t>
  </si>
  <si>
    <t>Subvariante Lagerhaltung relevant</t>
  </si>
  <si>
    <t>Subvariante Technik relevant</t>
  </si>
  <si>
    <t>Subvariante Verkauf relevant</t>
  </si>
  <si>
    <t>Subvariante Produktion relevant</t>
  </si>
  <si>
    <t>Subvariante Bild relevant</t>
  </si>
  <si>
    <t>Subvariante Export relevant</t>
  </si>
  <si>
    <t>Autom. validieren F.u.R</t>
  </si>
  <si>
    <t>Sachmerkmale Druck Code</t>
  </si>
  <si>
    <t>Druckreihenfolge</t>
  </si>
  <si>
    <t>Beschreibung Parameternr.</t>
  </si>
  <si>
    <t>Variantenstring Präfix</t>
  </si>
  <si>
    <t>Variantenstring Reihenfolge</t>
  </si>
  <si>
    <t>Globale Auspr. Pos.</t>
  </si>
  <si>
    <t>Ausprägung</t>
  </si>
  <si>
    <t>Drucken</t>
  </si>
  <si>
    <t>Nicht Plausibel</t>
  </si>
  <si>
    <t>Nummerischer Wert</t>
  </si>
  <si>
    <t>Pulksortierpriorität</t>
  </si>
  <si>
    <t>Gültig bis</t>
  </si>
  <si>
    <t>Gültig von</t>
  </si>
  <si>
    <t>Ausprägung Übersetzung</t>
  </si>
  <si>
    <t>Referenzart</t>
  </si>
  <si>
    <t>Bedingungsart 1</t>
  </si>
  <si>
    <t>Bedingung Instruktion 1</t>
  </si>
  <si>
    <t>Bedingungscode 1</t>
  </si>
  <si>
    <t>Bedingungsart 2</t>
  </si>
  <si>
    <t>Bedingung Instruktion 2</t>
  </si>
  <si>
    <t>Bedingungscode 2</t>
  </si>
  <si>
    <t>Bedingungsart 3</t>
  </si>
  <si>
    <t>Bedingung Instruktion 3</t>
  </si>
  <si>
    <t>Bedingungscode 3</t>
  </si>
  <si>
    <t>Bedingungsart 4</t>
  </si>
  <si>
    <t>Bedingung Instruktion 4</t>
  </si>
  <si>
    <t>Bedingungscode 4</t>
  </si>
  <si>
    <t>Bedingungsart 5</t>
  </si>
  <si>
    <t>Bedingung Instruktion 5</t>
  </si>
  <si>
    <t>Bedingungscode 5</t>
  </si>
  <si>
    <t>Bedingungsart 6</t>
  </si>
  <si>
    <t>Bedingung Instruktion 6</t>
  </si>
  <si>
    <t>Bedingungscode 6</t>
  </si>
  <si>
    <t>Bedingungsart 7</t>
  </si>
  <si>
    <t>Bedingung Instruktion 7</t>
  </si>
  <si>
    <t>Bedingungscode 7</t>
  </si>
  <si>
    <t>Bedingungsart 8</t>
  </si>
  <si>
    <t>Bedingung Instruktion 8</t>
  </si>
  <si>
    <t>Bedingungscode 8</t>
  </si>
  <si>
    <t>Bedingungsart 9</t>
  </si>
  <si>
    <t>Bedingung Instruktion 9</t>
  </si>
  <si>
    <t>Bedingungscode 9</t>
  </si>
  <si>
    <t>Bedingungsart 10</t>
  </si>
  <si>
    <t>Bedingung Instruktion 10</t>
  </si>
  <si>
    <t>Bedingungscode 10</t>
  </si>
  <si>
    <t>Tabellenname</t>
  </si>
  <si>
    <t>Leere Bedingung gültig</t>
  </si>
  <si>
    <t>Bedingung Set</t>
  </si>
  <si>
    <t>Aktionsart 1</t>
  </si>
  <si>
    <t>Aktionscode 1</t>
  </si>
  <si>
    <t>Aktionsart 2</t>
  </si>
  <si>
    <t>Aktionscode 2</t>
  </si>
  <si>
    <t>Aktionsart 3</t>
  </si>
  <si>
    <t>Aktionscode 3</t>
  </si>
  <si>
    <t>Aktionsart 4</t>
  </si>
  <si>
    <t>Aktionscode 4</t>
  </si>
  <si>
    <t>Aktionsart 5</t>
  </si>
  <si>
    <t>Aktionscode 5</t>
  </si>
  <si>
    <t>Aktionsart 6</t>
  </si>
  <si>
    <t>Aktionscode 6</t>
  </si>
  <si>
    <t>Aktionsart 7</t>
  </si>
  <si>
    <t>Aktionscode 7</t>
  </si>
  <si>
    <t>Aktionsart 8</t>
  </si>
  <si>
    <t>Aktionscode 8</t>
  </si>
  <si>
    <t>Aktionsart 9</t>
  </si>
  <si>
    <t>Aktionscode 9</t>
  </si>
  <si>
    <t>Aktionsart 10</t>
  </si>
  <si>
    <t>Aktionscode 10</t>
  </si>
  <si>
    <t>Aktion Set</t>
  </si>
  <si>
    <t>Bedingungsset Code</t>
  </si>
  <si>
    <t>Aktionsset Code</t>
  </si>
  <si>
    <t>Nicht plausible Ausprägungen ausblenden</t>
  </si>
  <si>
    <t>Verwendung</t>
  </si>
  <si>
    <t>Entscheidungstabellen</t>
  </si>
  <si>
    <t>Bedingungswert 1</t>
  </si>
  <si>
    <t>Bedingungswert 2</t>
  </si>
  <si>
    <t>Bedingungswert 3</t>
  </si>
  <si>
    <t>Bedingungswert 4</t>
  </si>
  <si>
    <t>Bedingungswert 5</t>
  </si>
  <si>
    <t>Bedingungswert 6</t>
  </si>
  <si>
    <t>Bedingungswert 7</t>
  </si>
  <si>
    <t>Bedingungswert 8</t>
  </si>
  <si>
    <t>Bedingungswert 9</t>
  </si>
  <si>
    <t>Bedingungswert 10</t>
  </si>
  <si>
    <t>Reihenfolge</t>
  </si>
  <si>
    <t>Aktion 1</t>
  </si>
  <si>
    <t>Aktion 2</t>
  </si>
  <si>
    <t>Aktion 3</t>
  </si>
  <si>
    <t>Aktion 4</t>
  </si>
  <si>
    <t>Aktion 5</t>
  </si>
  <si>
    <t>Aktion 6</t>
  </si>
  <si>
    <t>Aktion 7</t>
  </si>
  <si>
    <t>Aktion 8</t>
  </si>
  <si>
    <t>Aktion 9</t>
  </si>
  <si>
    <t>Aktion 10</t>
  </si>
  <si>
    <t>Nummerischer Bedingungswert 1</t>
  </si>
  <si>
    <t>Nummerischer Bedingungswert 2</t>
  </si>
  <si>
    <t>Nummerischer Bedingungswert 3</t>
  </si>
  <si>
    <t>Nummerischer Bedingungswert 4</t>
  </si>
  <si>
    <t>Nummerischer Bedingungswert 5</t>
  </si>
  <si>
    <t>Nummerischer Bedingungswert 6</t>
  </si>
  <si>
    <t>Nummerischer Bedingungswert 7</t>
  </si>
  <si>
    <t>Nummerischer Bedingungswert 8</t>
  </si>
  <si>
    <t>Nummerischer Bedingungswert 9</t>
  </si>
  <si>
    <t>Nummerischer Bedingungswert 10</t>
  </si>
  <si>
    <t>Variantenchecksumme</t>
  </si>
  <si>
    <t>Entscheidungsmatrix</t>
  </si>
  <si>
    <t>SM-Lfdnr.</t>
  </si>
  <si>
    <t>Zeilennr.</t>
  </si>
  <si>
    <t>Entscheidung Definition Code</t>
  </si>
  <si>
    <t>Klassen Entscheidung</t>
  </si>
  <si>
    <t>Fertigung Entscheidung</t>
  </si>
  <si>
    <t>Nr.</t>
  </si>
  <si>
    <t>Versionscode</t>
  </si>
  <si>
    <t>Fert. Stücklisten Zeilennr.</t>
  </si>
  <si>
    <t>Arbeitsgangnr.</t>
  </si>
  <si>
    <t>Arbeitsplankopf</t>
  </si>
  <si>
    <t>Versionsnummern</t>
  </si>
  <si>
    <t>Arbeitsgang</t>
  </si>
  <si>
    <t>Nächste Arbeitsgangnr.</t>
  </si>
  <si>
    <t>Vorherige Arbeitsgangnr.</t>
  </si>
  <si>
    <t>Arbeitsplatzgruppennr.</t>
  </si>
  <si>
    <t>Abteilungscode</t>
  </si>
  <si>
    <t>Rüstzeit</t>
  </si>
  <si>
    <t>Bearbeitungszeit</t>
  </si>
  <si>
    <t>Wartezeit</t>
  </si>
  <si>
    <t>Transportzeit</t>
  </si>
  <si>
    <t>Fixe Ausschussmenge</t>
  </si>
  <si>
    <t>Ausschussfaktor %</t>
  </si>
  <si>
    <t>Rüstzeiteinheitencode</t>
  </si>
  <si>
    <t>Bearbeitungszeiteinheitencode</t>
  </si>
  <si>
    <t>Wartezeiteinheitencode</t>
  </si>
  <si>
    <t>Transportzeiteinheitencode</t>
  </si>
  <si>
    <t>Minimale Prozesszeit</t>
  </si>
  <si>
    <t>Maximale Prozesszeit</t>
  </si>
  <si>
    <t>Gleichzeitig zu belasten</t>
  </si>
  <si>
    <t>Weitergabemenge</t>
  </si>
  <si>
    <t>Verbindungscode</t>
  </si>
  <si>
    <t>Standardkatalogcode</t>
  </si>
  <si>
    <t>Einstandspreis pro Einheit</t>
  </si>
  <si>
    <t>Neu berechnen</t>
  </si>
  <si>
    <t>Reihenfolge (Vorwärts)</t>
  </si>
  <si>
    <t>Reihenfolge (Rückwärts)</t>
  </si>
  <si>
    <t>Kum. feste Ausschussmenge</t>
  </si>
  <si>
    <t>Kum. Ausschussfaktor %</t>
  </si>
  <si>
    <t>Arbeitsgangnr. num.</t>
  </si>
  <si>
    <t>Selekt Entscheidungscode</t>
  </si>
  <si>
    <t>Kalkulationsgruppe</t>
  </si>
  <si>
    <t>CNC-Nr.</t>
  </si>
  <si>
    <t>Fertigmass Stärke</t>
  </si>
  <si>
    <t>Fertigmaß Breite</t>
  </si>
  <si>
    <t>Fertigmaß Länge</t>
  </si>
  <si>
    <t>Rohmass Stärke</t>
  </si>
  <si>
    <t>Sortierung Pulk 1</t>
  </si>
  <si>
    <t>Sortierung Pulk 2</t>
  </si>
  <si>
    <t>Sortierung Pulk 3</t>
  </si>
  <si>
    <t>Sortierung Pulk 4</t>
  </si>
  <si>
    <t>Sortierung Pulk 5</t>
  </si>
  <si>
    <t>Rohmaß Länge</t>
  </si>
  <si>
    <t>Rohmass Breite</t>
  </si>
  <si>
    <t>Taktung</t>
  </si>
  <si>
    <t>Dauertaktungszeit</t>
  </si>
  <si>
    <t>Fert.-Stücklistenkopf</t>
  </si>
  <si>
    <t>Einheitencode</t>
  </si>
  <si>
    <t>Errichtungsdatum</t>
  </si>
  <si>
    <t>Preisstückliste</t>
  </si>
  <si>
    <t>Auftragsnr.</t>
  </si>
  <si>
    <t>Fert.-Stücklistenzeile</t>
  </si>
  <si>
    <t>Menge</t>
  </si>
  <si>
    <t>Position</t>
  </si>
  <si>
    <t>Position 2</t>
  </si>
  <si>
    <t>Position 3</t>
  </si>
  <si>
    <t>Vorlaufzeitverschiebung</t>
  </si>
  <si>
    <t>Breite</t>
  </si>
  <si>
    <t>Gewicht</t>
  </si>
  <si>
    <t>Tiefe</t>
  </si>
  <si>
    <t>Formel</t>
  </si>
  <si>
    <t>Komponentenmenge</t>
  </si>
  <si>
    <t>Variante ausprägen</t>
  </si>
  <si>
    <t>Auftragsposition generieren</t>
  </si>
  <si>
    <t>Aufpreis</t>
  </si>
  <si>
    <t>Bestellposition generieren</t>
  </si>
  <si>
    <t>Aufpreis Einkauf</t>
  </si>
  <si>
    <t>Lagerortcode</t>
  </si>
  <si>
    <t>Lfdnr. Variantenstückliste</t>
  </si>
  <si>
    <t>Packstückgruppe</t>
  </si>
  <si>
    <t>Variantenstückliste Belegart</t>
  </si>
  <si>
    <t>Variantenstückliste  Belegnr.</t>
  </si>
  <si>
    <t>Variantenstückliste Belegzeilennr.</t>
  </si>
  <si>
    <t>Zeichnungsposition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</si>
</sst>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2" borderId="1" xfId="0" applyNumberFormat="1" applyFont="1" applyFill="1" applyBorder="1"/>
    <xf numFmtId="49" fontId="1" fillId="2" borderId="2" xfId="0" applyNumberFormat="1" applyFont="1" applyFill="1" applyBorder="1"/>
    <xf numFmtId="49" fontId="1" fillId="2" borderId="3" xfId="0" applyNumberFormat="1" applyFont="1" applyFill="1" applyBorder="1"/>
    <xf numFmtId="2" fontId="1" fillId="2" borderId="1" xfId="0" applyNumberFormat="1" applyFont="1" applyFill="1" applyBorder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0000-F866-483B-9227-1D9D6E685335}">
  <sheetPr codeName="Tabelle1"/>
  <dimension ref="A1:AK170"/>
  <sheetViews>
    <sheetView tabSelected="1" topLeftCell="A166" workbookViewId="0">
      <selection activeCell="B16" sqref="B16"/>
    </sheetView>
  </sheetViews>
  <sheetFormatPr baseColWidth="10" defaultRowHeight="15" x14ac:dyDescent="0.25"/>
  <cols>
    <col min="1" max="1" width="33.85546875" customWidth="1"/>
    <col min="2" max="2" width="37.42578125" customWidth="1"/>
    <col min="3" max="3" width="20" customWidth="1"/>
    <col min="4" max="4" width="31.7109375" customWidth="1"/>
    <col min="5" max="5" width="15.85546875" customWidth="1"/>
    <col min="6" max="6" width="43.5703125" customWidth="1"/>
    <col min="7" max="8" width="15" customWidth="1"/>
    <col min="9" max="9" width="27.5703125" customWidth="1"/>
    <col min="10" max="10" width="15" customWidth="1"/>
    <col min="11" max="11" width="21.85546875" customWidth="1"/>
    <col min="12" max="12" width="15" customWidth="1"/>
    <col min="13" max="14" width="19.28515625" customWidth="1"/>
    <col min="15" max="16" width="23.42578125" customWidth="1"/>
    <col min="17" max="18" width="23" customWidth="1"/>
    <col min="19" max="20" width="14.42578125" customWidth="1"/>
    <col min="21" max="21" width="23.5703125" customWidth="1"/>
    <col min="22" max="22" width="25.7109375" customWidth="1"/>
    <col min="23" max="23" width="21.5703125" customWidth="1"/>
    <col min="24" max="24" width="30.140625" customWidth="1"/>
    <col min="25" max="26" width="26.7109375" customWidth="1"/>
    <col min="27" max="28" width="23.28515625" customWidth="1"/>
    <col min="29" max="30" width="16.140625" customWidth="1"/>
    <col min="31" max="32" width="15.42578125" customWidth="1"/>
    <col min="33" max="34" width="22.140625" customWidth="1"/>
    <col min="35" max="35" width="20.5703125" customWidth="1"/>
  </cols>
  <sheetData>
    <row r="1" spans="1:37" x14ac:dyDescent="0.25">
      <c r="A1" t="s">
        <v>169</v>
      </c>
      <c r="B1" t="str">
        <f>CONCATENATE(A1,"_class")</f>
        <v>Artikel_class</v>
      </c>
      <c r="C1" t="s">
        <v>175</v>
      </c>
      <c r="D1" t="str">
        <f>CONCATENATE(C1,"_class")</f>
        <v>Artikelübersetzung_class</v>
      </c>
      <c r="E1" t="s">
        <v>194</v>
      </c>
      <c r="F1" t="str">
        <f>CONCATENATE(E1,"_class")</f>
        <v>Sachmerkmal_class</v>
      </c>
      <c r="G1" t="s">
        <v>208</v>
      </c>
      <c r="H1" t="str">
        <f>CONCATENATE(G1,"_class")</f>
        <v>Klasse_class</v>
      </c>
      <c r="I1" t="s">
        <v>210</v>
      </c>
      <c r="J1" t="str">
        <f>CONCATENATE(I1,"_class")</f>
        <v>Sachmerkmal Übersetzung_class</v>
      </c>
      <c r="K1" t="s">
        <v>211</v>
      </c>
      <c r="L1" t="str">
        <f>CONCATENATE(K1,"_class")</f>
        <v>Klassensachmerkmal_class</v>
      </c>
      <c r="M1" t="s">
        <v>234</v>
      </c>
      <c r="N1" t="str">
        <f>CONCATENATE(M1,"_class")</f>
        <v>Globale Auspr. Pos._class</v>
      </c>
      <c r="O1" t="s">
        <v>242</v>
      </c>
      <c r="P1" t="str">
        <f>CONCATENATE(O1,"_class")</f>
        <v>Ausprägung Übersetzung_class</v>
      </c>
      <c r="Q1" t="s">
        <v>276</v>
      </c>
      <c r="R1" t="str">
        <f>CONCATENATE(Q1,"_class")</f>
        <v>Bedingung Set_class</v>
      </c>
      <c r="S1" t="s">
        <v>297</v>
      </c>
      <c r="T1" t="str">
        <f>CONCATENATE(S1,"_class")</f>
        <v>Aktion Set_class</v>
      </c>
      <c r="U1" t="s">
        <v>302</v>
      </c>
      <c r="V1" t="str">
        <f>CONCATENATE(U1,"_class")</f>
        <v>Entscheidungstabellen_class</v>
      </c>
      <c r="W1" t="s">
        <v>335</v>
      </c>
      <c r="X1" t="str">
        <f>CONCATENATE(W1,"_class")</f>
        <v>Entscheidungsmatrix_class</v>
      </c>
      <c r="Y1" t="s">
        <v>339</v>
      </c>
      <c r="Z1" t="str">
        <f>CONCATENATE(Y1,"_class")</f>
        <v>Klassen Entscheidung_class</v>
      </c>
      <c r="AA1" t="s">
        <v>340</v>
      </c>
      <c r="AB1" t="str">
        <f>CONCATENATE(AA1,"_class")</f>
        <v>Fertigung Entscheidung_class</v>
      </c>
      <c r="AC1" t="s">
        <v>345</v>
      </c>
      <c r="AD1" t="str">
        <f>CONCATENATE(AC1,"_class")</f>
        <v>Arbeitsplankopf_class</v>
      </c>
      <c r="AE1" t="s">
        <v>347</v>
      </c>
      <c r="AF1" t="str">
        <f>CONCATENATE(AE1,"_class")</f>
        <v>Arbeitsgang_class</v>
      </c>
      <c r="AG1" t="s">
        <v>391</v>
      </c>
      <c r="AH1" t="str">
        <f>CONCATENATE(AG1,"_class")</f>
        <v>Fert.-Stücklistenkopf_class</v>
      </c>
      <c r="AI1" t="s">
        <v>396</v>
      </c>
      <c r="AJ1" t="str">
        <f>CONCATENATE(AI1,"_class")</f>
        <v>Fert.-Stücklistenzeile_class</v>
      </c>
    </row>
    <row r="2" spans="1:37" x14ac:dyDescent="0.25">
      <c r="A2" s="1" t="s">
        <v>0</v>
      </c>
      <c r="B2" t="str" cm="1">
        <f t="array" ref="B2">CONCATENATE("""",A2,"""",":",,"""",getComment(A2),""",",)</f>
        <v>"Kred.-Artikelnr.":"Text50",</v>
      </c>
      <c r="C2" s="3" t="s">
        <v>170</v>
      </c>
      <c r="D2" t="str" cm="1">
        <f t="array" ref="D2">CONCATENATE("""",C2,"""",":",,"""",getComment(C2),""",",)</f>
        <v>"Artikelnr.":"Code20",</v>
      </c>
      <c r="E2" s="3" t="s">
        <v>176</v>
      </c>
      <c r="F2" t="str" cm="1">
        <f t="array" ref="F2">CONCATENATE("""",E2,"""",":",,"""",getComment(E2),""",",)</f>
        <v>"Code":"Code10",</v>
      </c>
      <c r="G2" s="3" t="s">
        <v>195</v>
      </c>
      <c r="H2" t="str" cm="1">
        <f t="array" ref="H2">CONCATENATE("""",G2,"""",":",,"""",getComment(G2),""",",)</f>
        <v>"Klassenart":"Option
0: Klassifizierung
1: Suchen",</v>
      </c>
      <c r="I2" s="3" t="s">
        <v>209</v>
      </c>
      <c r="J2" t="str" cm="1">
        <f t="array" ref="J2">CONCATENATE("""",I2,"""",":",,"""",getComment(I2),""",",)</f>
        <v>"Sachmerkmalcode":"Code10",</v>
      </c>
      <c r="K2" s="3" t="s">
        <v>195</v>
      </c>
      <c r="L2" t="str" cm="1">
        <f t="array" ref="L2">CONCATENATE("""",K2,"""",":",,"""",getComment(K2),""",",)</f>
        <v>"Klassenart":"Option
0: Klassifizierung
1: Suchen",</v>
      </c>
      <c r="M2" s="3" t="s">
        <v>209</v>
      </c>
      <c r="N2" t="str" cm="1">
        <f t="array" ref="N2">CONCATENATE("""",M2,"""",":",,"""",getComment(M2),""",",)</f>
        <v>"Sachmerkmalcode":"Code10",</v>
      </c>
      <c r="O2" s="3" t="s">
        <v>209</v>
      </c>
      <c r="P2" t="str" cm="1">
        <f t="array" ref="P2">CONCATENATE("""",O2,"""",":",,"""",getComment(O2),""",",)</f>
        <v>"Sachmerkmalcode":"Code10",</v>
      </c>
      <c r="Q2" s="3" t="s">
        <v>176</v>
      </c>
      <c r="R2" t="str" cm="1">
        <f t="array" ref="R2">CONCATENATE("""",Q2,"""",":",,"""",getComment(Q2),""",",)</f>
        <v>"Code":"Code20",</v>
      </c>
      <c r="S2" s="3" t="s">
        <v>176</v>
      </c>
      <c r="T2" t="str" cm="1">
        <f t="array" ref="T2">CONCATENATE("""",S2,"""",":",,"""",getComment(S2),""",",)</f>
        <v>"Code":"Code20",</v>
      </c>
      <c r="U2" s="3" t="s">
        <v>176</v>
      </c>
      <c r="V2" t="str" cm="1">
        <f t="array" ref="V2">CONCATENATE("""",U2,"""",":",,"""",getComment(U2),""",",)</f>
        <v>"Code":"Code20",</v>
      </c>
      <c r="W2" s="3" t="s">
        <v>176</v>
      </c>
      <c r="X2" t="str" cm="1">
        <f t="array" ref="X2">CONCATENATE("""",W2,"""",":",,"""",getComment(W2),""",",)</f>
        <v>"Code":"Code20",</v>
      </c>
      <c r="Y2" s="3" t="s">
        <v>195</v>
      </c>
      <c r="Z2" t="str" cm="1">
        <f t="array" ref="Z2">CONCATENATE("""",Y2,"""",":",,"""",getComment(Y2),""",",)</f>
        <v>"Klassenart":"Option
0: Klassifizierung
1: Suchen",</v>
      </c>
      <c r="AA2" s="3" t="s">
        <v>243</v>
      </c>
      <c r="AB2" t="str" cm="1">
        <f t="array" ref="AB2">CONCATENATE("""",AA2,"""",":",,"""",getComment(AA2),""",",)</f>
        <v>"Referenzart":"Option
0:  
1: Stückliste-Fertigung
2: Arbeitsplan",</v>
      </c>
      <c r="AC2" s="3" t="s">
        <v>341</v>
      </c>
      <c r="AD2" t="str" cm="1">
        <f t="array" ref="AD2">CONCATENATE("""",AC2,"""",":",,"""",getComment(AC2),""",",)</f>
        <v>"Nr.":"Code20",</v>
      </c>
      <c r="AE2" s="3" t="s">
        <v>155</v>
      </c>
      <c r="AF2" t="str" cm="1">
        <f t="array" ref="AF2">CONCATENATE("""",AE2,"""",":",,"""",getComment(AE2),""",",)</f>
        <v>"Arbeitsplannr.":"Code20",</v>
      </c>
      <c r="AG2" s="3" t="s">
        <v>341</v>
      </c>
      <c r="AH2" t="str" cm="1">
        <f t="array" ref="AH2">CONCATENATE("""",AG2,"""",":",,"""",getComment(AG2),""",",)</f>
        <v>"Nr.":"Code20",</v>
      </c>
      <c r="AI2" s="3" t="s">
        <v>156</v>
      </c>
      <c r="AJ2" t="str" cm="1">
        <f t="array" ref="AJ2">CONCATENATE("""",AI2,"""",":",,"""",getComment(AI2),""",",)</f>
        <v>"Fert.-Stücklistennr.":"Code20",</v>
      </c>
      <c r="AK2" t="str" cm="1">
        <f t="array" ref="AK2">CONCATENATE("""",AJ2,"""",":",,"""",getComment(AJ2),""",",)</f>
        <v>""Fert.-Stücklistennr.":"Code20",":"",</v>
      </c>
    </row>
    <row r="3" spans="1:37" x14ac:dyDescent="0.25">
      <c r="A3" s="1" t="s">
        <v>1</v>
      </c>
      <c r="B3" t="str" cm="1">
        <f t="array" ref="B3">CONCATENATE("""",A3,"""",":",,"""",getComment(A3),""",",)</f>
        <v>"Beschaffungszeit":"DateFormula",</v>
      </c>
      <c r="C3" s="1" t="s">
        <v>171</v>
      </c>
      <c r="D3" t="str" cm="1">
        <f t="array" ref="D3">CONCATENATE("""",C3,"""",":",,"""",getComment(C3),""",",)</f>
        <v>"Variantencode":"Code10",</v>
      </c>
      <c r="E3" s="1" t="s">
        <v>177</v>
      </c>
      <c r="F3" t="str" cm="1">
        <f t="array" ref="F3">CONCATENATE("""",E3,"""",":",,"""",getComment(E3),""",",)</f>
        <v>"Def.Klasse":"",</v>
      </c>
      <c r="G3" s="1" t="s">
        <v>176</v>
      </c>
      <c r="H3" t="str" cm="1">
        <f t="array" ref="H3">CONCATENATE("""",G3,"""",":",,"""",getComment(G3),""",",)</f>
        <v>"Code":"Code10",</v>
      </c>
      <c r="I3" s="1" t="s">
        <v>172</v>
      </c>
      <c r="J3" t="str" cm="1">
        <f t="array" ref="J3">CONCATENATE("""",I3,"""",":",,"""",getComment(I3),""",",)</f>
        <v>"Sprachcode":"Code10",</v>
      </c>
      <c r="K3" s="1" t="s">
        <v>98</v>
      </c>
      <c r="L3" t="str" cm="1">
        <f t="array" ref="L3">CONCATENATE("""",K3,"""",":",,"""",getComment(K3),""",",)</f>
        <v>"Klassencode":"Code10",</v>
      </c>
      <c r="M3" s="1" t="s">
        <v>235</v>
      </c>
      <c r="N3" t="str" cm="1">
        <f t="array" ref="N3">CONCATENATE("""",M3,"""",":",,"""",getComment(M3),""",",)</f>
        <v>"Ausprägung":"Code20",</v>
      </c>
      <c r="O3" s="1" t="s">
        <v>235</v>
      </c>
      <c r="P3" t="str" cm="1">
        <f t="array" ref="P3">CONCATENATE("""",O3,"""",":",,"""",getComment(O3),""",",)</f>
        <v>"Ausprägung":"Code20",</v>
      </c>
      <c r="Q3" s="1" t="s">
        <v>173</v>
      </c>
      <c r="R3" t="str" cm="1">
        <f t="array" ref="R3">CONCATENATE("""",Q3,"""",":",,"""",getComment(Q3),""",",)</f>
        <v>"Beschreibung":"Text100",</v>
      </c>
      <c r="S3" s="1" t="s">
        <v>173</v>
      </c>
      <c r="T3" t="str" cm="1">
        <f t="array" ref="T3">CONCATENATE("""",S3,"""",":",,"""",getComment(S3),""",",)</f>
        <v>"Beschreibung":"Text100",</v>
      </c>
      <c r="U3" s="1" t="s">
        <v>173</v>
      </c>
      <c r="V3" t="str" cm="1">
        <f t="array" ref="V3">CONCATENATE("""",U3,"""",":",,"""",getComment(U3),""",",)</f>
        <v>"Beschreibung":"Text100",</v>
      </c>
      <c r="W3" s="1" t="s">
        <v>212</v>
      </c>
      <c r="X3" t="str" cm="1">
        <f t="array" ref="X3">CONCATENATE("""",W3,"""",":",,"""",getComment(W3),""",",)</f>
        <v>"Lfd. Nr.":"Integer",</v>
      </c>
      <c r="Y3" s="1" t="s">
        <v>98</v>
      </c>
      <c r="Z3" t="str" cm="1">
        <f t="array" ref="Z3">CONCATENATE("""",Y3,"""",":",,"""",getComment(Y3),""",",)</f>
        <v>"Klassencode":"Code10",</v>
      </c>
      <c r="AA3" s="1" t="s">
        <v>341</v>
      </c>
      <c r="AB3" t="str" cm="1">
        <f t="array" ref="AB3">CONCATENATE("""",AA3,"""",":",,"""",getComment(AA3),""",",)</f>
        <v>"Nr.":"Code20",</v>
      </c>
      <c r="AC3" s="1" t="s">
        <v>173</v>
      </c>
      <c r="AD3" t="str" cm="1">
        <f t="array" ref="AD3">CONCATENATE("""",AC3,"""",":",,"""",getComment(AC3),""",",)</f>
        <v>"Beschreibung":"Text100",</v>
      </c>
      <c r="AE3" s="1" t="s">
        <v>342</v>
      </c>
      <c r="AF3" t="str" cm="1">
        <f t="array" ref="AF3">CONCATENATE("""",AE3,"""",":",,"""",getComment(AE3),""",",)</f>
        <v>"Versionscode":"Code20",</v>
      </c>
      <c r="AG3" s="1" t="s">
        <v>173</v>
      </c>
      <c r="AH3" t="str" cm="1">
        <f t="array" ref="AH3">CONCATENATE("""",AG3,"""",":",,"""",getComment(AG3),""",",)</f>
        <v>"Beschreibung":"Text100",</v>
      </c>
      <c r="AI3" s="1" t="s">
        <v>342</v>
      </c>
      <c r="AJ3" t="str" cm="1">
        <f t="array" ref="AJ3">CONCATENATE("""",AI3,"""",":",,"""",getComment(AI3),""",",)</f>
        <v>"Versionscode":"Code20",</v>
      </c>
      <c r="AK3" t="str" cm="1">
        <f t="array" ref="AK3">CONCATENATE("""",AJ3,"""",":",,"""",getComment(AJ3),""",",)</f>
        <v>""Versionscode":"Code20",":"",</v>
      </c>
    </row>
    <row r="4" spans="1:37" x14ac:dyDescent="0.25">
      <c r="A4" s="1" t="s">
        <v>2</v>
      </c>
      <c r="B4" t="str" cm="1">
        <f t="array" ref="B4">CONCATENATE("""",A4,"""",":",,"""",getComment(A4),""",",)</f>
        <v>"Meldebestand":"Decimal",</v>
      </c>
      <c r="C4" s="1" t="s">
        <v>172</v>
      </c>
      <c r="D4" t="str" cm="1">
        <f t="array" ref="D4">CONCATENATE("""",C4,"""",":",,"""",getComment(C4),""",",)</f>
        <v>"Sprachcode":"Code10",</v>
      </c>
      <c r="E4" s="1" t="s">
        <v>178</v>
      </c>
      <c r="F4" t="str" cm="1">
        <f t="array" ref="F4">CONCATENATE("""",E4,"""",":",,"""",getComment(E4),""",",)</f>
        <v>"Länge":"Integer",</v>
      </c>
      <c r="G4" s="1" t="s">
        <v>173</v>
      </c>
      <c r="H4" t="str" cm="1">
        <f t="array" ref="H4">CONCATENATE("""",G4,"""",":",,"""",getComment(G4),""",",)</f>
        <v>"Beschreibung":"Text100",</v>
      </c>
      <c r="I4" s="2" t="s">
        <v>173</v>
      </c>
      <c r="J4" t="str" cm="1">
        <f t="array" ref="J4">CONCATENATE("""",I4,"""",":",,"""",getComment(I4),""",",)</f>
        <v>"Beschreibung":"Text100",</v>
      </c>
      <c r="K4" s="1" t="s">
        <v>212</v>
      </c>
      <c r="L4" t="str" cm="1">
        <f t="array" ref="L4">CONCATENATE("""",K4,"""",":",,"""",getComment(K4),""",",)</f>
        <v>"Lfd. Nr.":"Integer",</v>
      </c>
      <c r="M4" s="1" t="s">
        <v>180</v>
      </c>
      <c r="N4" t="str" cm="1">
        <f t="array" ref="N4">CONCATENATE("""",M4,"""",":",,"""",getComment(M4),""",",)</f>
        <v>"Geändert am":"Date",</v>
      </c>
      <c r="O4" s="1" t="s">
        <v>172</v>
      </c>
      <c r="P4" t="str" cm="1">
        <f t="array" ref="P4">CONCATENATE("""",O4,"""",":",,"""",getComment(O4),""",",)</f>
        <v>"Sprachcode":"Code10",</v>
      </c>
      <c r="Q4" s="1" t="s">
        <v>243</v>
      </c>
      <c r="R4" t="str" cm="1">
        <f t="array" ref="R4">CONCATENATE("""",Q4,"""",":",,"""",getComment(Q4),""",",)</f>
        <v>"Referenzart":"Option
0:  
1: Stückliste-Fertigung
2: Arbeitsplan",</v>
      </c>
      <c r="S4" s="1" t="s">
        <v>243</v>
      </c>
      <c r="T4" t="str" cm="1">
        <f t="array" ref="T4">CONCATENATE("""",S4,"""",":",,"""",getComment(S4),""",",)</f>
        <v>"Referenzart":"Option
0:  
1: Stückliste-Fertigung
2: Arbeitsplan",</v>
      </c>
      <c r="U4" s="1" t="s">
        <v>243</v>
      </c>
      <c r="V4" t="str" cm="1">
        <f t="array" ref="V4">CONCATENATE("""",U4,"""",":",,"""",getComment(U4),""",",)</f>
        <v>"Referenzart":"Option
0:  
1: Stückliste-Fertigung
2: Arbeitsplan",</v>
      </c>
      <c r="W4" s="1" t="s">
        <v>303</v>
      </c>
      <c r="X4" t="str" cm="1">
        <f t="array" ref="X4">CONCATENATE("""",W4,"""",":",,"""",getComment(W4),""",",)</f>
        <v>"Bedingungswert 1":"Code200",</v>
      </c>
      <c r="Y4" s="1" t="s">
        <v>336</v>
      </c>
      <c r="Z4" t="str" cm="1">
        <f t="array" ref="Z4">CONCATENATE("""",Y4,"""",":",,"""",getComment(Y4),""",",)</f>
        <v>"SM-Lfdnr.":"Integer",</v>
      </c>
      <c r="AA4" s="1" t="s">
        <v>342</v>
      </c>
      <c r="AB4" t="str" cm="1">
        <f t="array" ref="AB4">CONCATENATE("""",AA4,"""",":",,"""",getComment(AA4),""",",)</f>
        <v>"Versionscode":"Code20",</v>
      </c>
      <c r="AC4" s="1" t="s">
        <v>174</v>
      </c>
      <c r="AD4" t="str" cm="1">
        <f t="array" ref="AD4">CONCATENATE("""",AC4,"""",":",,"""",getComment(AC4),""",",)</f>
        <v>"Beschreibung 2":"Text50",</v>
      </c>
      <c r="AE4" s="1" t="s">
        <v>344</v>
      </c>
      <c r="AF4" t="str" cm="1">
        <f t="array" ref="AF4">CONCATENATE("""",AE4,"""",":",,"""",getComment(AE4),""",",)</f>
        <v>"Arbeitsgangnr.":"Code10",</v>
      </c>
      <c r="AG4" s="1" t="s">
        <v>174</v>
      </c>
      <c r="AH4" t="str" cm="1">
        <f t="array" ref="AH4">CONCATENATE("""",AG4,"""",":",,"""",getComment(AG4),""",",)</f>
        <v>"Beschreibung 2":"Text50",</v>
      </c>
      <c r="AI4" s="1" t="s">
        <v>337</v>
      </c>
      <c r="AJ4" t="str" cm="1">
        <f t="array" ref="AJ4">CONCATENATE("""",AI4,"""",":",,"""",getComment(AI4),""",",)</f>
        <v>"Zeilennr.":"Integer",</v>
      </c>
      <c r="AK4" t="str" cm="1">
        <f t="array" ref="AK4">CONCATENATE("""",AJ4,"""",":",,"""",getComment(AJ4),""",",)</f>
        <v>""Zeilennr.":"Integer",":"",</v>
      </c>
    </row>
    <row r="5" spans="1:37" x14ac:dyDescent="0.25">
      <c r="A5" s="1" t="s">
        <v>3</v>
      </c>
      <c r="B5" t="str" cm="1">
        <f t="array" ref="B5">CONCATENATE("""",A5,"""",":",,"""",getComment(A5),""",",)</f>
        <v>"Maximalbestand":"Decimal",</v>
      </c>
      <c r="C5" s="1" t="s">
        <v>173</v>
      </c>
      <c r="D5" t="str" cm="1">
        <f t="array" ref="D5">CONCATENATE("""",C5,"""",":",,"""",getComment(C5),""",",)</f>
        <v>"Beschreibung":"Text100",</v>
      </c>
      <c r="E5" s="1" t="s">
        <v>179</v>
      </c>
      <c r="F5" t="str" cm="1">
        <f t="array" ref="F5">CONCATENATE("""",E5,"""",":",,"""",getComment(E5),""",",)</f>
        <v>"Dezimalstellen":"Integer",</v>
      </c>
      <c r="G5" s="1" t="s">
        <v>196</v>
      </c>
      <c r="H5" t="str" cm="1">
        <f t="array" ref="H5">CONCATENATE("""",G5,"""",":",,"""",getComment(G5),""",",)</f>
        <v>"Suchbegriff":"Code100",</v>
      </c>
      <c r="K5" s="1" t="s">
        <v>209</v>
      </c>
      <c r="L5" t="str" cm="1">
        <f t="array" ref="L5">CONCATENATE("""",K5,"""",":",,"""",getComment(K5),""",",)</f>
        <v>"Sachmerkmalcode":"Code10",</v>
      </c>
      <c r="M5" s="1" t="s">
        <v>181</v>
      </c>
      <c r="N5" t="str" cm="1">
        <f t="array" ref="N5">CONCATENATE("""",M5,"""",":",,"""",getComment(M5),""",",)</f>
        <v>"Geändert von":"Code50",</v>
      </c>
      <c r="O5" s="1" t="s">
        <v>173</v>
      </c>
      <c r="P5" t="str" cm="1">
        <f t="array" ref="P5">CONCATENATE("""",O5,"""",":",,"""",getComment(O5),""",",)</f>
        <v>"Beschreibung":"Text100",</v>
      </c>
      <c r="Q5" s="1" t="s">
        <v>244</v>
      </c>
      <c r="R5" t="str" cm="1">
        <f t="array" ref="R5">CONCATENATE("""",Q5,"""",":",,"""",getComment(Q5),""",",)</f>
        <v>"Bedingungsart 1":"Option
0:  
1: Sachmerkmal
2: Tabellenfeld
3: NV-Numerische Variable
4: AV-Alphanumerische Variable
5: Artikelnr.",</v>
      </c>
      <c r="S5" s="1" t="s">
        <v>277</v>
      </c>
      <c r="T5" t="str" cm="1">
        <f t="array" ref="T5">CONCATENATE("""",S5,"""",":",,"""",getComment(S5),""",",)</f>
        <v>"Aktionsart 1":"Option
0: Sachmerkmal
1: Tabellenfeld
2: NV-Numerische Variable
3: AV-Alphanumerische Variable
4: Ja/Nein
5: Fehler
6: Meldung
7: Preisgruppen",</v>
      </c>
      <c r="U5" s="1" t="s">
        <v>197</v>
      </c>
      <c r="V5" t="str" cm="1">
        <f t="array" ref="V5">CONCATENATE("""",U5,"""",":",,"""",getComment(U5),""",",)</f>
        <v>"Status":"Option
0: In Entwicklung
1: Zertifiziert",</v>
      </c>
      <c r="W5" s="1" t="s">
        <v>304</v>
      </c>
      <c r="X5" t="str" cm="1">
        <f t="array" ref="X5">CONCATENATE("""",W5,"""",":",,"""",getComment(W5),""",",)</f>
        <v>"Bedingungswert 2":"Code200",</v>
      </c>
      <c r="Y5" s="1" t="s">
        <v>184</v>
      </c>
      <c r="Z5" t="str" cm="1">
        <f t="array" ref="Z5">CONCATENATE("""",Y5,"""",":",,"""",getComment(Y5),""",",)</f>
        <v>"Art":"Option
0:  
1: Ausblenden",</v>
      </c>
      <c r="AA5" s="1" t="s">
        <v>343</v>
      </c>
      <c r="AB5" t="str" cm="1">
        <f t="array" ref="AB5">CONCATENATE("""",AA5,"""",":",,"""",getComment(AA5),""",",)</f>
        <v>"Fert. Stücklisten Zeilennr.":"Integer",</v>
      </c>
      <c r="AC5" s="1" t="s">
        <v>196</v>
      </c>
      <c r="AD5" t="str" cm="1">
        <f t="array" ref="AD5">CONCATENATE("""",AC5,"""",":",,"""",getComment(AC5),""",",)</f>
        <v>"Suchbegriff":"Code100",</v>
      </c>
      <c r="AE5" s="1" t="s">
        <v>348</v>
      </c>
      <c r="AF5" t="str" cm="1">
        <f t="array" ref="AF5">CONCATENATE("""",AE5,"""",":",,"""",getComment(AE5),""",",)</f>
        <v>"Nächste Arbeitsgangnr.":"Code30",</v>
      </c>
      <c r="AG5" s="1" t="s">
        <v>196</v>
      </c>
      <c r="AH5" t="str" cm="1">
        <f t="array" ref="AH5">CONCATENATE("""",AG5,"""",":",,"""",getComment(AG5),""",",)</f>
        <v>"Suchbegriff":"Code100",</v>
      </c>
      <c r="AI5" s="1" t="s">
        <v>184</v>
      </c>
      <c r="AJ5" t="str" cm="1">
        <f t="array" ref="AJ5">CONCATENATE("""",AI5,"""",":",,"""",getComment(AI5),""",",)</f>
        <v>"Art":"Option
0:  
1: Artikel
2: Fertigungsstückliste",</v>
      </c>
      <c r="AK5" t="str" cm="1">
        <f t="array" ref="AK5">CONCATENATE("""",AJ5,"""",":",,"""",getComment(AJ5),""",",)</f>
        <v>""Art":"Option
0:  
1: Artikel
2: Fertigungsstückliste",":"",</v>
      </c>
    </row>
    <row r="6" spans="1:37" x14ac:dyDescent="0.25">
      <c r="A6" s="1" t="s">
        <v>4</v>
      </c>
      <c r="B6" t="str" cm="1">
        <f t="array" ref="B6">CONCATENATE("""",A6,"""",":",,"""",getComment(A6),""",",)</f>
        <v>"Bestellmenge":"Decimal",</v>
      </c>
      <c r="C6" s="2" t="s">
        <v>174</v>
      </c>
      <c r="D6" t="str" cm="1">
        <f t="array" ref="D6">CONCATENATE("""",C6,"""",":",,"""",getComment(C6),""",",)</f>
        <v>"Beschreibung 2":"Text50",</v>
      </c>
      <c r="E6" s="1" t="s">
        <v>173</v>
      </c>
      <c r="F6" t="str" cm="1">
        <f t="array" ref="F6">CONCATENATE("""",E6,"""",":",,"""",getComment(E6),""",",)</f>
        <v>"Beschreibung":"Text100",</v>
      </c>
      <c r="G6" s="1" t="s">
        <v>197</v>
      </c>
      <c r="H6" t="str" cm="1">
        <f t="array" ref="H6">CONCATENATE("""",G6,"""",":",,"""",getComment(G6),""",",)</f>
        <v>"Status":"Option
0: In Entwicklung
1: Zertifiziert",</v>
      </c>
      <c r="K6" s="1" t="s">
        <v>213</v>
      </c>
      <c r="L6" t="str" cm="1">
        <f t="array" ref="L6">CONCATENATE("""",K6,"""",":",,"""",getComment(K6),""",",)</f>
        <v>"Muß/Kann":"Option
0: kann
1: muß für Klassifizierung
2: muß für Variantensystem",</v>
      </c>
      <c r="M6" s="1" t="s">
        <v>212</v>
      </c>
      <c r="N6" t="str" cm="1">
        <f t="array" ref="N6">CONCATENATE("""",M6,"""",":",,"""",getComment(M6),""",",)</f>
        <v>"Lfd. Nr.":"Integer",</v>
      </c>
      <c r="O6" s="1" t="s">
        <v>180</v>
      </c>
      <c r="P6" t="str" cm="1">
        <f t="array" ref="P6">CONCATENATE("""",O6,"""",":",,"""",getComment(O6),""",",)</f>
        <v>"Geändert am":"Date",</v>
      </c>
      <c r="Q6" s="1" t="s">
        <v>245</v>
      </c>
      <c r="R6" t="str" cm="1">
        <f t="array" ref="R6">CONCATENATE("""",Q6,"""",":",,"""",getComment(Q6),""",",)</f>
        <v>"Bedingung Instruktion 1":"Option
0: = gleich
1: &gt; größer
2: &gt;= größer oder gleich
3: &lt; kleiner
4: &lt;= kleiner oder gleich
5: &lt;&gt; ungleich
6: Wertefilter",</v>
      </c>
      <c r="S6" s="1" t="s">
        <v>278</v>
      </c>
      <c r="T6" t="str" cm="1">
        <f t="array" ref="T6">CONCATENATE("""",S6,"""",":",,"""",getComment(S6),""",",)</f>
        <v>"Aktionscode 1":"Text80",</v>
      </c>
      <c r="U6" s="1" t="s">
        <v>298</v>
      </c>
      <c r="V6" t="str" cm="1">
        <f t="array" ref="V6">CONCATENATE("""",U6,"""",":",,"""",getComment(U6),""",",)</f>
        <v>"Bedingungsset Code":"Code20",</v>
      </c>
      <c r="W6" s="1" t="s">
        <v>305</v>
      </c>
      <c r="X6" t="str" cm="1">
        <f t="array" ref="X6">CONCATENATE("""",W6,"""",":",,"""",getComment(W6),""",",)</f>
        <v>"Bedingungswert 3":"Code200",</v>
      </c>
      <c r="Y6" s="1" t="s">
        <v>337</v>
      </c>
      <c r="Z6" t="str" cm="1">
        <f t="array" ref="Z6">CONCATENATE("""",Y6,"""",":",,"""",getComment(Y6),""",",)</f>
        <v>"Zeilennr.":"Integer",</v>
      </c>
      <c r="AA6" s="1" t="s">
        <v>344</v>
      </c>
      <c r="AB6" t="str" cm="1">
        <f t="array" ref="AB6">CONCATENATE("""",AA6,"""",":",,"""",getComment(AA6),""",",)</f>
        <v>"Arbeitsgangnr.":"Code10",</v>
      </c>
      <c r="AC6" s="1" t="s">
        <v>24</v>
      </c>
      <c r="AD6" t="str" cm="1">
        <f t="array" ref="AD6">CONCATENATE("""",AC6,"""",":",,"""",getComment(AC6),""",",)</f>
        <v>"Korrigiert am":"Date",</v>
      </c>
      <c r="AE6" s="1" t="s">
        <v>349</v>
      </c>
      <c r="AF6" t="str" cm="1">
        <f t="array" ref="AF6">CONCATENATE("""",AE6,"""",":",,"""",getComment(AE6),""",",)</f>
        <v>"Vorherige Arbeitsgangnr.":"Code30",</v>
      </c>
      <c r="AG6" s="1" t="s">
        <v>392</v>
      </c>
      <c r="AH6" t="str" cm="1">
        <f t="array" ref="AH6">CONCATENATE("""",AG6,"""",":",,"""",getComment(AG6),""",",)</f>
        <v>"Einheitencode":"Code10",</v>
      </c>
      <c r="AI6" s="1" t="s">
        <v>341</v>
      </c>
      <c r="AJ6" t="str" cm="1">
        <f t="array" ref="AJ6">CONCATENATE("""",AI6,"""",":",,"""",getComment(AI6),""",",)</f>
        <v>"Nr.":"Code20",</v>
      </c>
      <c r="AK6" t="str" cm="1">
        <f t="array" ref="AK6">CONCATENATE("""",AJ6,"""",":",,"""",getComment(AJ6),""",",)</f>
        <v>""Nr.":"Code20",":"",</v>
      </c>
    </row>
    <row r="7" spans="1:37" x14ac:dyDescent="0.25">
      <c r="A7" s="1" t="s">
        <v>5</v>
      </c>
      <c r="B7" t="str" cm="1">
        <f t="array" ref="B7">CONCATENATE("""",A7,"""",":",,"""",getComment(A7),""",",)</f>
        <v>"Alternative Artikelnr.":"Code20",</v>
      </c>
      <c r="E7" s="1" t="s">
        <v>180</v>
      </c>
      <c r="F7" t="str" cm="1">
        <f t="array" ref="F7">CONCATENATE("""",E7,"""",":",,"""",getComment(E7),""",",)</f>
        <v>"Geändert am":"Date",</v>
      </c>
      <c r="G7" s="1" t="s">
        <v>198</v>
      </c>
      <c r="H7" t="str" cm="1">
        <f t="array" ref="H7">CONCATENATE("""",G7,"""",":",,"""",getComment(G7),""",",)</f>
        <v>"Änderung erlaubt":"Boolean",</v>
      </c>
      <c r="K7" s="1" t="s">
        <v>214</v>
      </c>
      <c r="L7" t="str" cm="1">
        <f t="array" ref="L7">CONCATENATE("""",K7,"""",":",,"""",getComment(K7),""",",)</f>
        <v>"Eindeutiges Suchen":"Boolean",</v>
      </c>
      <c r="M7" s="1" t="s">
        <v>173</v>
      </c>
      <c r="N7" t="str" cm="1">
        <f t="array" ref="N7">CONCATENATE("""",M7,"""",":",,"""",getComment(M7),""",",)</f>
        <v>"Beschreibung":"Text100",</v>
      </c>
      <c r="O7" s="2" t="s">
        <v>181</v>
      </c>
      <c r="P7" t="str" cm="1">
        <f t="array" ref="P7">CONCATENATE("""",O7,"""",":",,"""",getComment(O7),""",",)</f>
        <v>"Geändert von":"Code50",</v>
      </c>
      <c r="Q7" s="1" t="s">
        <v>246</v>
      </c>
      <c r="R7" t="str" cm="1">
        <f t="array" ref="R7">CONCATENATE("""",Q7,"""",":",,"""",getComment(Q7),""",",)</f>
        <v>"Bedingungscode 1":"Text80",</v>
      </c>
      <c r="S7" s="1" t="s">
        <v>279</v>
      </c>
      <c r="T7" t="str" cm="1">
        <f t="array" ref="T7">CONCATENATE("""",S7,"""",":",,"""",getComment(S7),""",",)</f>
        <v>"Aktionsart 2":"Option
0: Sachmerkmal
1: Tabellenfeld
2: NV-Numerische Variable
3: AV-Alphanumerische Variable
4: Ja/Nein
5: Fehler
6: Meldung",</v>
      </c>
      <c r="U7" s="1" t="s">
        <v>299</v>
      </c>
      <c r="V7" t="str" cm="1">
        <f t="array" ref="V7">CONCATENATE("""",U7,"""",":",,"""",getComment(U7),""",",)</f>
        <v>"Aktionsset Code":"Code20",</v>
      </c>
      <c r="W7" s="1" t="s">
        <v>306</v>
      </c>
      <c r="X7" t="str" cm="1">
        <f t="array" ref="X7">CONCATENATE("""",W7,"""",":",,"""",getComment(W7),""",",)</f>
        <v>"Bedingungswert 4":"Code200",</v>
      </c>
      <c r="Y7" s="2" t="s">
        <v>338</v>
      </c>
      <c r="Z7" t="str" cm="1">
        <f t="array" ref="Z7">CONCATENATE("""",Y7,"""",":",,"""",getComment(Y7),""",",)</f>
        <v>"Entscheidung Definition Code":"Code20",</v>
      </c>
      <c r="AA7" s="1" t="s">
        <v>337</v>
      </c>
      <c r="AB7" t="str" cm="1">
        <f t="array" ref="AB7">CONCATENATE("""",AA7,"""",":",,"""",getComment(AA7),""",",)</f>
        <v>"Zeilennr.":"Integer",</v>
      </c>
      <c r="AC7" s="1" t="s">
        <v>197</v>
      </c>
      <c r="AD7" t="str" cm="1">
        <f t="array" ref="AD7">CONCATENATE("""",AC7,"""",":",,"""",getComment(AC7),""",",)</f>
        <v>"Status":"Option
0: Neu
1: Zertifiziert
2: In Entwicklung
3: Abgeschlossen",</v>
      </c>
      <c r="AE7" s="1" t="s">
        <v>184</v>
      </c>
      <c r="AF7" t="str" cm="1">
        <f t="array" ref="AF7">CONCATENATE("""",AE7,"""",":",,"""",getComment(AE7),""",",)</f>
        <v>"Art":"Option
0: Arbeitsplatzgruppe
1: Arbeitsplatz
2:",</v>
      </c>
      <c r="AG7" s="1" t="s">
        <v>44</v>
      </c>
      <c r="AH7" t="str" cm="1">
        <f t="array" ref="AH7">CONCATENATE("""",AG7,"""",":",,"""",getComment(AG7),""",",)</f>
        <v>"Stücklistenebene":"Integer",</v>
      </c>
      <c r="AI7" s="1" t="s">
        <v>173</v>
      </c>
      <c r="AJ7" t="str" cm="1">
        <f t="array" ref="AJ7">CONCATENATE("""",AI7,"""",":",,"""",getComment(AI7),""",",)</f>
        <v>"Beschreibung":"Text100",</v>
      </c>
      <c r="AK7" t="str" cm="1">
        <f t="array" ref="AK7">CONCATENATE("""",AJ7,"""",":",,"""",getComment(AJ7),""",",)</f>
        <v>""Beschreibung":"Text100",":"",</v>
      </c>
    </row>
    <row r="8" spans="1:37" x14ac:dyDescent="0.25">
      <c r="A8" s="1" t="s">
        <v>6</v>
      </c>
      <c r="B8" t="str" cm="1">
        <f t="array" ref="B8">CONCATENATE("""",A8,"""",":",,"""",getComment(A8),""",",)</f>
        <v>"Richtpreis":"Decimal",</v>
      </c>
      <c r="E8" s="1" t="s">
        <v>181</v>
      </c>
      <c r="F8" t="str" cm="1">
        <f t="array" ref="F8">CONCATENATE("""",E8,"""",":",,"""",getComment(E8),""",",)</f>
        <v>"Geändert von":"Code50",</v>
      </c>
      <c r="G8" s="1" t="s">
        <v>180</v>
      </c>
      <c r="H8" t="str" cm="1">
        <f t="array" ref="H8">CONCATENATE("""",G8,"""",":",,"""",getComment(G8),""",",)</f>
        <v>"Geändert am":"Date",</v>
      </c>
      <c r="K8" s="1" t="s">
        <v>215</v>
      </c>
      <c r="L8" t="str" cm="1">
        <f t="array" ref="L8">CONCATENATE("""",K8,"""",":",,"""",getComment(K8),""",",)</f>
        <v>"Prüfverfahren":"Option
0: Keine Prüfung
1: Globale Ausprägungen
2: Entscheidungstabelle
3: Nur Klassensatzwert",</v>
      </c>
      <c r="M8" s="1" t="s">
        <v>236</v>
      </c>
      <c r="N8" t="str" cm="1">
        <f t="array" ref="N8">CONCATENATE("""",M8,"""",":",,"""",getComment(M8),""",",)</f>
        <v>"Drucken":"Boolean",</v>
      </c>
      <c r="Q8" s="1" t="s">
        <v>247</v>
      </c>
      <c r="R8" t="str" cm="1">
        <f t="array" ref="R8">CONCATENATE("""",Q8,"""",":",,"""",getComment(Q8),""",",)</f>
        <v>"Bedingungsart 2":"Option
0:  
1: Sachmerkmal
2: Tabellenfeld
3: NV-Numerische Variable
4: AV-Alphanumerische Variable
5: Artikelnr.",</v>
      </c>
      <c r="S8" s="1" t="s">
        <v>280</v>
      </c>
      <c r="T8" t="str" cm="1">
        <f t="array" ref="T8">CONCATENATE("""",S8,"""",":",,"""",getComment(S8),""",",)</f>
        <v>"Aktionscode 2":"Text80",</v>
      </c>
      <c r="U8" s="1" t="s">
        <v>184</v>
      </c>
      <c r="V8" t="str" cm="1">
        <f t="array" ref="V8">CONCATENATE("""",U8,"""",":",,"""",getComment(U8),""",",)</f>
        <v>"Art":"Option
0: Standard
1: Prüfung
2: Select
3: Sachmerkmal ausblenden
4: Preisgruppen",</v>
      </c>
      <c r="W8" s="1" t="s">
        <v>307</v>
      </c>
      <c r="X8" t="str" cm="1">
        <f t="array" ref="X8">CONCATENATE("""",W8,"""",":",,"""",getComment(W8),""",",)</f>
        <v>"Bedingungswert 5":"Code200",</v>
      </c>
      <c r="AA8" s="2" t="s">
        <v>338</v>
      </c>
      <c r="AB8" t="str" cm="1">
        <f t="array" ref="AB8">CONCATENATE("""",AA8,"""",":",,"""",getComment(AA8),""",",)</f>
        <v>"Entscheidung Definition Code":"Code20",</v>
      </c>
      <c r="AC8" s="1" t="s">
        <v>184</v>
      </c>
      <c r="AD8" t="str" cm="1">
        <f t="array" ref="AD8">CONCATENATE("""",AC8,"""",":",,"""",getComment(AC8),""",",)</f>
        <v>"Art":"Option
0: Seriell
1: Parallel",</v>
      </c>
      <c r="AE8" s="1" t="s">
        <v>341</v>
      </c>
      <c r="AF8" t="str" cm="1">
        <f t="array" ref="AF8">CONCATENATE("""",AE8,"""",":",,"""",getComment(AE8),""",",)</f>
        <v>"Nr.":"Code20",</v>
      </c>
      <c r="AG8" s="1" t="s">
        <v>393</v>
      </c>
      <c r="AH8" t="str" cm="1">
        <f t="array" ref="AH8">CONCATENATE("""",AG8,"""",":",,"""",getComment(AG8),""",",)</f>
        <v>"Errichtungsdatum":"Date",</v>
      </c>
      <c r="AI8" s="1" t="s">
        <v>392</v>
      </c>
      <c r="AJ8" t="str" cm="1">
        <f t="array" ref="AJ8">CONCATENATE("""",AI8,"""",":",,"""",getComment(AI8),""",",)</f>
        <v>"Einheitencode":"Code10",</v>
      </c>
      <c r="AK8" t="str" cm="1">
        <f t="array" ref="AK8">CONCATENATE("""",AJ8,"""",":",,"""",getComment(AJ8),""",",)</f>
        <v>""Einheitencode":"Code10",":"",</v>
      </c>
    </row>
    <row r="9" spans="1:37" x14ac:dyDescent="0.25">
      <c r="A9" s="1" t="s">
        <v>7</v>
      </c>
      <c r="B9" t="str" cm="1">
        <f t="array" ref="B9">CONCATENATE("""",A9,"""",":",,"""",getComment(A9),""",",)</f>
        <v>"Abgabenteil %":"Decimal",</v>
      </c>
      <c r="E9" s="1" t="s">
        <v>182</v>
      </c>
      <c r="F9" t="str" cm="1">
        <f t="array" ref="F9">CONCATENATE("""",E9,"""",":",,"""",getComment(E9),""",",)</f>
        <v>"Ausprägung leer erlaubt":"Boolean",</v>
      </c>
      <c r="G9" s="1" t="s">
        <v>181</v>
      </c>
      <c r="H9" t="str" cm="1">
        <f t="array" ref="H9">CONCATENATE("""",G9,"""",":",,"""",getComment(G9),""",",)</f>
        <v>"Geändert von":"Code50",</v>
      </c>
      <c r="K9" s="1" t="s">
        <v>216</v>
      </c>
      <c r="L9" t="str" cm="1">
        <f t="array" ref="L9">CONCATENATE("""",K9,"""",":",,"""",getComment(K9),""",",)</f>
        <v>"Prüfung":"Code20",</v>
      </c>
      <c r="M9" s="1" t="s">
        <v>29</v>
      </c>
      <c r="N9" t="str" cm="1">
        <f t="array" ref="N9">CONCATENATE("""",M9,"""",":",,"""",getComment(M9),""",",)</f>
        <v>"Bild":"MediaSet",</v>
      </c>
      <c r="Q9" s="1" t="s">
        <v>248</v>
      </c>
      <c r="R9" t="str" cm="1">
        <f t="array" ref="R9">CONCATENATE("""",Q9,"""",":",,"""",getComment(Q9),""",",)</f>
        <v>"Bedingung Instruktion 2":"Option
0: = gleich
1: &gt; größer
2: &gt;= größer oder gleich
3: &lt; kleiner
4: &lt;= kleiner oder gleich
5: &lt;&gt; ungleich
6: Wertefilter",</v>
      </c>
      <c r="S9" s="1" t="s">
        <v>281</v>
      </c>
      <c r="T9" t="str" cm="1">
        <f t="array" ref="T9">CONCATENATE("""",S9,"""",":",,"""",getComment(S9),""",",)</f>
        <v>"Aktionsart 3":"Option
0: Sachmerkmal
1: Tabellenfeld
2: NV-Numerische Variable
3: AV-Alphanumerische Variable
4: Ja/Nein
5: Fehler
6: Meldung",</v>
      </c>
      <c r="U9" s="1" t="s">
        <v>300</v>
      </c>
      <c r="V9" t="str" cm="1">
        <f t="array" ref="V9">CONCATENATE("""",U9,"""",":",,"""",getComment(U9),""",",)</f>
        <v>"Nicht plausible Ausprägungen ausblenden":"Boolean",</v>
      </c>
      <c r="W9" s="1" t="s">
        <v>308</v>
      </c>
      <c r="X9" t="str" cm="1">
        <f t="array" ref="X9">CONCATENATE("""",W9,"""",":",,"""",getComment(W9),""",",)</f>
        <v>"Bedingungswert 6":"Code200",</v>
      </c>
      <c r="AC9" s="1" t="s">
        <v>346</v>
      </c>
      <c r="AD9" t="str" cm="1">
        <f t="array" ref="AD9">CONCATENATE("""",AC9,"""",":",,"""",getComment(AC9),""",",)</f>
        <v>"Versionsnummern":"Code20",</v>
      </c>
      <c r="AE9" s="1" t="s">
        <v>350</v>
      </c>
      <c r="AF9" t="str" cm="1">
        <f t="array" ref="AF9">CONCATENATE("""",AE9,"""",":",,"""",getComment(AE9),""",",)</f>
        <v>"Arbeitsplatzgruppennr.":"Code20",</v>
      </c>
      <c r="AG9" s="1" t="s">
        <v>24</v>
      </c>
      <c r="AH9" t="str" cm="1">
        <f t="array" ref="AH9">CONCATENATE("""",AG9,"""",":",,"""",getComment(AG9),""",",)</f>
        <v>"Korrigiert am":"Date",</v>
      </c>
      <c r="AI9" s="1" t="s">
        <v>397</v>
      </c>
      <c r="AJ9" t="str" cm="1">
        <f t="array" ref="AJ9">CONCATENATE("""",AI9,"""",":",,"""",getComment(AI9),""",",)</f>
        <v>"Menge":"Decimal",</v>
      </c>
      <c r="AK9" t="str" cm="1">
        <f t="array" ref="AK9">CONCATENATE("""",AJ9,"""",":",,"""",getComment(AJ9),""",",)</f>
        <v>""Menge":"Decimal",":"",</v>
      </c>
    </row>
    <row r="10" spans="1:37" x14ac:dyDescent="0.25">
      <c r="A10" s="1" t="s">
        <v>8</v>
      </c>
      <c r="B10" t="str" cm="1">
        <f t="array" ref="B10">CONCATENATE("""",A10,"""",":",,"""",getComment(A10),""",",)</f>
        <v>"Abgabencode":"Code10",</v>
      </c>
      <c r="E10" s="1" t="s">
        <v>183</v>
      </c>
      <c r="F10" t="str" cm="1">
        <f t="array" ref="F10">CONCATENATE("""",E10,"""",":",,"""",getComment(E10),""",",)</f>
        <v>"Datentyp":"Option
0: Numerisch
1: Alphanumerisch",</v>
      </c>
      <c r="G10" s="1" t="s">
        <v>199</v>
      </c>
      <c r="H10" t="str" cm="1">
        <f t="array" ref="H10">CONCATENATE("""",G10,"""",":",,"""",getComment(G10),""",",)</f>
        <v>"Variantennummern":"Code20",</v>
      </c>
      <c r="K10" s="1" t="s">
        <v>180</v>
      </c>
      <c r="L10" t="str" cm="1">
        <f t="array" ref="L10">CONCATENATE("""",K10,"""",":",,"""",getComment(K10),""",",)</f>
        <v>"Geändert am":"Date",</v>
      </c>
      <c r="M10" s="1" t="s">
        <v>237</v>
      </c>
      <c r="N10" t="str" cm="1">
        <f t="array" ref="N10">CONCATENATE("""",M10,"""",":",,"""",getComment(M10),""",",)</f>
        <v>"Nicht Plausibel":"Boolean",</v>
      </c>
      <c r="Q10" s="1" t="s">
        <v>249</v>
      </c>
      <c r="R10" t="str" cm="1">
        <f t="array" ref="R10">CONCATENATE("""",Q10,"""",":",,"""",getComment(Q10),""",",)</f>
        <v>"Bedingungscode 2":"Text80",</v>
      </c>
      <c r="S10" s="1" t="s">
        <v>282</v>
      </c>
      <c r="T10" t="str" cm="1">
        <f t="array" ref="T10">CONCATENATE("""",S10,"""",":",,"""",getComment(S10),""",",)</f>
        <v>"Aktionscode 3":"Text80",</v>
      </c>
      <c r="U10" s="1" t="s">
        <v>301</v>
      </c>
      <c r="V10" t="str" cm="1">
        <f t="array" ref="V10">CONCATENATE("""",U10,"""",":",,"""",getComment(U10),""",",)</f>
        <v>"Verwendung":"Option
0: Allgemein
1: Speziell",</v>
      </c>
      <c r="W10" s="1" t="s">
        <v>309</v>
      </c>
      <c r="X10" t="str" cm="1">
        <f t="array" ref="X10">CONCATENATE("""",W10,"""",":",,"""",getComment(W10),""",",)</f>
        <v>"Bedingungswert 7":"Code200",</v>
      </c>
      <c r="AC10" s="2" t="s">
        <v>32</v>
      </c>
      <c r="AD10" t="str" cm="1">
        <f t="array" ref="AD10">CONCATENATE("""",AC10,"""",":",,"""",getComment(AC10),""",",)</f>
        <v>"Nummernserie":"Code20",</v>
      </c>
      <c r="AE10" s="1" t="s">
        <v>351</v>
      </c>
      <c r="AF10" t="str" cm="1">
        <f t="array" ref="AF10">CONCATENATE("""",AE10,"""",":",,"""",getComment(AE10),""",",)</f>
        <v>"Abteilungscode":"Code10",</v>
      </c>
      <c r="AG10" s="1" t="s">
        <v>197</v>
      </c>
      <c r="AH10" t="str" cm="1">
        <f t="array" ref="AH10">CONCATENATE("""",AG10,"""",":",,"""",getComment(AG10),""",",)</f>
        <v>"Status":"Option
0: Neu
1: Zertifiziert
2: In Entwicklung
3: Abgeschlossen",</v>
      </c>
      <c r="AI10" s="1" t="s">
        <v>398</v>
      </c>
      <c r="AJ10" t="str" cm="1">
        <f t="array" ref="AJ10">CONCATENATE("""",AI10,"""",":",,"""",getComment(AI10),""",",)</f>
        <v>"Position":"Code10",</v>
      </c>
      <c r="AK10" t="str" cm="1">
        <f t="array" ref="AK10">CONCATENATE("""",AJ10,"""",":",,"""",getComment(AJ10),""",",)</f>
        <v>""Position":"Code10",":"",</v>
      </c>
    </row>
    <row r="11" spans="1:37" x14ac:dyDescent="0.25">
      <c r="A11" s="1" t="s">
        <v>9</v>
      </c>
      <c r="B11" t="str" cm="1">
        <f t="array" ref="B11">CONCATENATE("""",A11,"""",":",,"""",getComment(A11),""",",)</f>
        <v>"Bruttogewicht":"Decimal",</v>
      </c>
      <c r="E11" s="1" t="s">
        <v>184</v>
      </c>
      <c r="F11" t="str" cm="1">
        <f t="array" ref="F11">CONCATENATE("""",E11,"""",":",,"""",getComment(E11),""",",)</f>
        <v>"Art":"Option
0: Bereich
1: Wert",</v>
      </c>
      <c r="G11" s="1" t="s">
        <v>200</v>
      </c>
      <c r="H11" t="str" cm="1">
        <f t="array" ref="H11">CONCATENATE("""",G11,"""",":",,"""",getComment(G11),""",",)</f>
        <v>"Subvarianten Nummern":"Code20",</v>
      </c>
      <c r="K11" s="1" t="s">
        <v>181</v>
      </c>
      <c r="L11" t="str" cm="1">
        <f t="array" ref="L11">CONCATENATE("""",K11,"""",":",,"""",getComment(K11),""",",)</f>
        <v>"Geändert von":"Code50",</v>
      </c>
      <c r="M11" s="1" t="s">
        <v>111</v>
      </c>
      <c r="N11" t="str" cm="1">
        <f t="array" ref="N11">CONCATENATE("""",M11,"""",":",,"""",getComment(M11),""",",)</f>
        <v>"Wertenfilter":"Boolean",</v>
      </c>
      <c r="Q11" s="1" t="s">
        <v>250</v>
      </c>
      <c r="R11" t="str" cm="1">
        <f t="array" ref="R11">CONCATENATE("""",Q11,"""",":",,"""",getComment(Q11),""",",)</f>
        <v>"Bedingungsart 3":"Option
0:  
1: Sachmerkmal
2: Tabellenfeld
3: NV-Numerische Variable
4: AV-Alphanumerische Variable
5: Artikelnr.",</v>
      </c>
      <c r="S11" s="1" t="s">
        <v>283</v>
      </c>
      <c r="T11" t="str" cm="1">
        <f t="array" ref="T11">CONCATENATE("""",S11,"""",":",,"""",getComment(S11),""",",)</f>
        <v>"Aktionsart 4":"Option
0: Sachmerkmal
1: Tabellenfeld
2: NV-Numerische Variable
3: AV-Alphanumerische Variable
4: Ja/Nein
5: Fehler
6: Meldung",</v>
      </c>
      <c r="U11" s="2" t="s">
        <v>274</v>
      </c>
      <c r="V11" t="str" cm="1">
        <f t="array" ref="V11">CONCATENATE("""",U11,"""",":",,"""",getComment(U11),""",",)</f>
        <v>"Tabellenname":"Text250",</v>
      </c>
      <c r="W11" s="1" t="s">
        <v>310</v>
      </c>
      <c r="X11" t="str" cm="1">
        <f t="array" ref="X11">CONCATENATE("""",W11,"""",":",,"""",getComment(W11),""",",)</f>
        <v>"Bedingungswert 8":"Code200",</v>
      </c>
      <c r="AE11" s="1" t="s">
        <v>173</v>
      </c>
      <c r="AF11" t="str" cm="1">
        <f t="array" ref="AF11">CONCATENATE("""",AE11,"""",":",,"""",getComment(AE11),""",",)</f>
        <v>"Beschreibung":"Text100",</v>
      </c>
      <c r="AG11" s="1" t="s">
        <v>346</v>
      </c>
      <c r="AH11" t="str" cm="1">
        <f t="array" ref="AH11">CONCATENATE("""",AG11,"""",":",,"""",getComment(AG11),""",",)</f>
        <v>"Versionsnummern":"Code20",</v>
      </c>
      <c r="AI11" s="1" t="s">
        <v>399</v>
      </c>
      <c r="AJ11" t="str" cm="1">
        <f t="array" ref="AJ11">CONCATENATE("""",AI11,"""",":",,"""",getComment(AI11),""",",)</f>
        <v>"Position 2":"Code10",</v>
      </c>
      <c r="AK11" t="str" cm="1">
        <f t="array" ref="AK11">CONCATENATE("""",AJ11,"""",":",,"""",getComment(AJ11),""",",)</f>
        <v>""Position 2":"Code10",":"",</v>
      </c>
    </row>
    <row r="12" spans="1:37" x14ac:dyDescent="0.25">
      <c r="A12" s="1" t="s">
        <v>10</v>
      </c>
      <c r="B12" t="str" cm="1">
        <f t="array" ref="B12">CONCATENATE("""",A12,"""",":",,"""",getComment(A12),""",",)</f>
        <v>"Nettogewicht":"Decimal",</v>
      </c>
      <c r="E12" s="1" t="s">
        <v>185</v>
      </c>
      <c r="F12" t="str" cm="1">
        <f t="array" ref="F12">CONCATENATE("""",E12,"""",":",,"""",getComment(E12),""",",)</f>
        <v>"Standardwert":"Code20",</v>
      </c>
      <c r="G12" s="1" t="s">
        <v>201</v>
      </c>
      <c r="H12" t="str" cm="1">
        <f t="array" ref="H12">CONCATENATE("""",G12,"""",":",,"""",getComment(G12),""",",)</f>
        <v>"LHD Subvarianten Checksumme":"Code40",</v>
      </c>
      <c r="K12" s="1" t="s">
        <v>178</v>
      </c>
      <c r="L12" t="str" cm="1">
        <f t="array" ref="L12">CONCATENATE("""",K12,"""",":",,"""",getComment(K12),""",",)</f>
        <v>"Länge":"Integer",</v>
      </c>
      <c r="M12" s="1" t="s">
        <v>238</v>
      </c>
      <c r="N12" t="str" cm="1">
        <f t="array" ref="N12">CONCATENATE("""",M12,"""",":",,"""",getComment(M12),""",",)</f>
        <v>"Nummerischer Wert":"Decimal",</v>
      </c>
      <c r="Q12" s="1" t="s">
        <v>251</v>
      </c>
      <c r="R12" t="str" cm="1">
        <f t="array" ref="R12">CONCATENATE("""",Q12,"""",":",,"""",getComment(Q12),""",",)</f>
        <v>"Bedingung Instruktion 3":"Option
0: = gleich
1: &gt; größer
2: &gt;= größer oder gleich
3: &lt; kleiner
4: &lt;= kleiner oder gleich
5: &lt;&gt; ungleich
6: Wertefilter",</v>
      </c>
      <c r="S12" s="1" t="s">
        <v>284</v>
      </c>
      <c r="T12" t="str" cm="1">
        <f t="array" ref="T12">CONCATENATE("""",S12,"""",":",,"""",getComment(S12),""",",)</f>
        <v>"Aktionscode 4":"Text80",</v>
      </c>
      <c r="W12" s="1" t="s">
        <v>311</v>
      </c>
      <c r="X12" t="str" cm="1">
        <f t="array" ref="X12">CONCATENATE("""",W12,"""",":",,"""",getComment(W12),""",",)</f>
        <v>"Bedingungswert 9":"Code200",</v>
      </c>
      <c r="AE12" s="1" t="s">
        <v>352</v>
      </c>
      <c r="AF12" t="str" cm="1">
        <f t="array" ref="AF12">CONCATENATE("""",AE12,"""",":",,"""",getComment(AE12),""",",)</f>
        <v>"Rüstzeit":"Decimal",</v>
      </c>
      <c r="AG12" s="1" t="s">
        <v>32</v>
      </c>
      <c r="AH12" t="str" cm="1">
        <f t="array" ref="AH12">CONCATENATE("""",AG12,"""",":",,"""",getComment(AG12),""",",)</f>
        <v>"Nummernserie":"Code20",</v>
      </c>
      <c r="AI12" s="1" t="s">
        <v>400</v>
      </c>
      <c r="AJ12" t="str" cm="1">
        <f t="array" ref="AJ12">CONCATENATE("""",AI12,"""",":",,"""",getComment(AI12),""",",)</f>
        <v>"Position 3":"Code10",</v>
      </c>
      <c r="AK12" t="str" cm="1">
        <f t="array" ref="AK12">CONCATENATE("""",AJ12,"""",":",,"""",getComment(AJ12),""",",)</f>
        <v>""Position 3":"Code10",":"",</v>
      </c>
    </row>
    <row r="13" spans="1:37" x14ac:dyDescent="0.25">
      <c r="A13" s="1" t="s">
        <v>11</v>
      </c>
      <c r="B13" t="str" cm="1">
        <f t="array" ref="B13">CONCATENATE("""",A13,"""",":",,"""",getComment(A13),""",",)</f>
        <v>"Anzahl pro Paket":"Decimal",</v>
      </c>
      <c r="E13" s="4" t="s">
        <v>186</v>
      </c>
      <c r="F13" t="str" cm="1">
        <f t="array" ref="F13">CONCATENATE("""",E13,"""",":",,"""",getComment(E13),""",",)</f>
        <v>"Ausprägung von":"Decimal",</v>
      </c>
      <c r="G13" s="1" t="s">
        <v>202</v>
      </c>
      <c r="H13" t="str" cm="1">
        <f t="array" ref="H13">CONCATENATE("""",G13,"""",":",,"""",getComment(G13),""",",)</f>
        <v>"Technik Subvarianten Checksumme":"Code40",</v>
      </c>
      <c r="K13" s="1" t="s">
        <v>179</v>
      </c>
      <c r="L13" t="str" cm="1">
        <f t="array" ref="L13">CONCATENATE("""",K13,"""",":",,"""",getComment(K13),""",",)</f>
        <v>"Dezimalstellen":"Integer",</v>
      </c>
      <c r="M13" s="1" t="s">
        <v>239</v>
      </c>
      <c r="N13" t="str" cm="1">
        <f t="array" ref="N13">CONCATENATE("""",M13,"""",":",,"""",getComment(M13),""",",)</f>
        <v>"Pulksortierpriorität":"Integer",</v>
      </c>
      <c r="Q13" s="1" t="s">
        <v>252</v>
      </c>
      <c r="R13" t="str" cm="1">
        <f t="array" ref="R13">CONCATENATE("""",Q13,"""",":",,"""",getComment(Q13),""",",)</f>
        <v>"Bedingungscode 3":"Text80",</v>
      </c>
      <c r="S13" s="1" t="s">
        <v>285</v>
      </c>
      <c r="T13" t="str" cm="1">
        <f t="array" ref="T13">CONCATENATE("""",S13,"""",":",,"""",getComment(S13),""",",)</f>
        <v>"Aktionsart 5":"Option
0: Sachmerkmal
1: Tabellenfeld
2: NV-Numerische Variable
3: AV-Alphanumerische Variable
4: Ja/Nein
5: Fehler
6: Meldung",</v>
      </c>
      <c r="W13" s="1" t="s">
        <v>312</v>
      </c>
      <c r="X13" t="str" cm="1">
        <f t="array" ref="X13">CONCATENATE("""",W13,"""",":",,"""",getComment(W13),""",",)</f>
        <v>"Bedingungswert 10":"Code200",</v>
      </c>
      <c r="AE13" s="1" t="s">
        <v>353</v>
      </c>
      <c r="AF13" t="str" cm="1">
        <f t="array" ref="AF13">CONCATENATE("""",AE13,"""",":",,"""",getComment(AE13),""",",)</f>
        <v>"Bearbeitungszeit":"Decimal",</v>
      </c>
      <c r="AG13" s="1" t="s">
        <v>394</v>
      </c>
      <c r="AH13" t="str" cm="1">
        <f t="array" ref="AH13">CONCATENATE("""",AG13,"""",":",,"""",getComment(AG13),""",",)</f>
        <v>"Preisstückliste":"Boolean",</v>
      </c>
      <c r="AI13" s="1" t="s">
        <v>401</v>
      </c>
      <c r="AJ13" t="str" cm="1">
        <f t="array" ref="AJ13">CONCATENATE("""",AI13,"""",":",,"""",getComment(AI13),""",",)</f>
        <v>"Vorlaufzeitverschiebung":"DateFormula",</v>
      </c>
      <c r="AK13" t="str" cm="1">
        <f t="array" ref="AK13">CONCATENATE("""",AJ13,"""",":",,"""",getComment(AJ13),""",",)</f>
        <v>""Vorlaufzeitverschiebung":"DateFormula",":"",</v>
      </c>
    </row>
    <row r="14" spans="1:37" x14ac:dyDescent="0.25">
      <c r="A14" s="1" t="s">
        <v>12</v>
      </c>
      <c r="B14" t="str" cm="1">
        <f t="array" ref="B14">CONCATENATE("""",A14,"""",":",,"""",getComment(A14),""",",)</f>
        <v>"Volumen":"Decimal",</v>
      </c>
      <c r="E14" s="1" t="s">
        <v>187</v>
      </c>
      <c r="F14" t="str" cm="1">
        <f t="array" ref="F14">CONCATENATE("""",E14,"""",":",,"""",getComment(E14),""",",)</f>
        <v>"Ausprägung bis":"Decimal",</v>
      </c>
      <c r="G14" s="1" t="s">
        <v>203</v>
      </c>
      <c r="H14" t="str" cm="1">
        <f t="array" ref="H14">CONCATENATE("""",G14,"""",":",,"""",getComment(G14),""",",)</f>
        <v>"Verkauf Subvarianten Checksumme":"Code40",</v>
      </c>
      <c r="K14" s="1" t="s">
        <v>217</v>
      </c>
      <c r="L14" t="str" cm="1">
        <f t="array" ref="L14">CONCATENATE("""",K14,"""",":",,"""",getComment(K14),""",",)</f>
        <v>"Ausprägung diskret":"Boolean",</v>
      </c>
      <c r="M14" s="1" t="s">
        <v>240</v>
      </c>
      <c r="N14" t="str" cm="1">
        <f t="array" ref="N14">CONCATENATE("""",M14,"""",":",,"""",getComment(M14),""",",)</f>
        <v>"Gültig bis":"Date",</v>
      </c>
      <c r="Q14" s="1" t="s">
        <v>253</v>
      </c>
      <c r="R14" t="str" cm="1">
        <f t="array" ref="R14">CONCATENATE("""",Q14,"""",":",,"""",getComment(Q14),""",",)</f>
        <v>"Bedingungsart 4":"Option
0:  
1: Sachmerkmal
2: Tabellenfeld
3: NV-Numerische Variable
4: AV-Alphanumerische Variable
5: Artikelnr.",</v>
      </c>
      <c r="S14" s="1" t="s">
        <v>286</v>
      </c>
      <c r="T14" t="str" cm="1">
        <f t="array" ref="T14">CONCATENATE("""",S14,"""",":",,"""",getComment(S14),""",",)</f>
        <v>"Aktionscode 5":"Text80",</v>
      </c>
      <c r="W14" s="1" t="s">
        <v>313</v>
      </c>
      <c r="X14" t="str" cm="1">
        <f t="array" ref="X14">CONCATENATE("""",W14,"""",":",,"""",getComment(W14),""",",)</f>
        <v>"Reihenfolge":"Integer",</v>
      </c>
      <c r="AE14" s="1" t="s">
        <v>354</v>
      </c>
      <c r="AF14" t="str" cm="1">
        <f t="array" ref="AF14">CONCATENATE("""",AE14,"""",":",,"""",getComment(AE14),""",",)</f>
        <v>"Wartezeit":"Decimal",</v>
      </c>
      <c r="AG14" s="1" t="s">
        <v>395</v>
      </c>
      <c r="AH14" t="str" cm="1">
        <f t="array" ref="AH14">CONCATENATE("""",AG14,"""",":",,"""",getComment(AG14),""",",)</f>
        <v>"Auftragsnr.":"Code20",</v>
      </c>
      <c r="AI14" s="1" t="s">
        <v>366</v>
      </c>
      <c r="AJ14" t="str" cm="1">
        <f t="array" ref="AJ14">CONCATENATE("""",AI14,"""",":",,"""",getComment(AI14),""",",)</f>
        <v>"Verbindungscode":"Code10",</v>
      </c>
      <c r="AK14" t="str" cm="1">
        <f t="array" ref="AK14">CONCATENATE("""",AJ14,"""",":",,"""",getComment(AJ14),""",",)</f>
        <v>""Verbindungscode":"Code10",":"",</v>
      </c>
    </row>
    <row r="15" spans="1:37" x14ac:dyDescent="0.25">
      <c r="A15" s="1" t="s">
        <v>13</v>
      </c>
      <c r="B15" t="str" cm="1">
        <f t="array" ref="B15">CONCATENATE("""",A15,"""",":",,"""",getComment(A15),""",",)</f>
        <v>"Haltbarkeit":"Code10",</v>
      </c>
      <c r="E15" s="1" t="s">
        <v>188</v>
      </c>
      <c r="F15" t="str" cm="1">
        <f t="array" ref="F15">CONCATENATE("""",E15,"""",":",,"""",getComment(E15),""",",)</f>
        <v>"Schrittweite":"Decimal",</v>
      </c>
      <c r="G15" s="1" t="s">
        <v>204</v>
      </c>
      <c r="H15" t="str" cm="1">
        <f t="array" ref="H15">CONCATENATE("""",G15,"""",":",,"""",getComment(G15),""",",)</f>
        <v>"Produktion Subvarianten Checksumme":"Code40",</v>
      </c>
      <c r="K15" s="1" t="s">
        <v>218</v>
      </c>
      <c r="L15" t="str" cm="1">
        <f t="array" ref="L15">CONCATENATE("""",K15,"""",":",,"""",getComment(K15),""",",)</f>
        <v>"Abhängig von Sachmerkmal":"Code10",</v>
      </c>
      <c r="M15" s="2" t="s">
        <v>241</v>
      </c>
      <c r="N15" t="str" cm="1">
        <f t="array" ref="N15">CONCATENATE("""",M15,"""",":",,"""",getComment(M15),""",",)</f>
        <v>"Gültig von":"Date",</v>
      </c>
      <c r="Q15" s="1" t="s">
        <v>254</v>
      </c>
      <c r="R15" t="str" cm="1">
        <f t="array" ref="R15">CONCATENATE("""",Q15,"""",":",,"""",getComment(Q15),""",",)</f>
        <v>"Bedingung Instruktion 4":"Option
0: = gleich
1: &gt; größer
2: &gt;= größer oder gleich
3: &lt; kleiner
4: &lt;= kleiner oder gleich
5: &lt;&gt; ungleich
6: Wertefilter",</v>
      </c>
      <c r="S15" s="1" t="s">
        <v>287</v>
      </c>
      <c r="T15" t="str" cm="1">
        <f t="array" ref="T15">CONCATENATE("""",S15,"""",":",,"""",getComment(S15),""",",)</f>
        <v>"Aktionsart 6":"Option
0: Sachmerkmal
1: Tabellenfeld
2: NV-Numerische Variable
3: AV-Alphanumerische Variable
4: Ja/Nein
5: Fehler
6: Meldung",</v>
      </c>
      <c r="W15" s="1" t="s">
        <v>314</v>
      </c>
      <c r="X15" t="str" cm="1">
        <f t="array" ref="X15">CONCATENATE("""",W15,"""",":",,"""",getComment(W15),""",",)</f>
        <v>"Aktion 1":"Code40",</v>
      </c>
      <c r="AE15" s="1" t="s">
        <v>355</v>
      </c>
      <c r="AF15" t="str" cm="1">
        <f t="array" ref="AF15">CONCATENATE("""",AE15,"""",":",,"""",getComment(AE15),""",",)</f>
        <v>"Transportzeit":"Decimal",</v>
      </c>
      <c r="AG15" s="2" t="s">
        <v>150</v>
      </c>
      <c r="AH15" t="str" cm="1">
        <f t="array" ref="AH15">CONCATENATE("""",AG15,"""",":",,"""",getComment(AG15),""",",)</f>
        <v>"Aus externem System":"Boolean",</v>
      </c>
      <c r="AI15" s="1" t="s">
        <v>50</v>
      </c>
      <c r="AJ15" t="str" cm="1">
        <f t="array" ref="AJ15">CONCATENATE("""",AI15,"""",":",,"""",getComment(AI15),""",",)</f>
        <v>"Ausschuss %":"Decimal",</v>
      </c>
      <c r="AK15" t="str" cm="1">
        <f t="array" ref="AK15">CONCATENATE("""",AJ15,"""",":",,"""",getComment(AJ15),""",",)</f>
        <v>""Ausschuss %":"Decimal",":"",</v>
      </c>
    </row>
    <row r="16" spans="1:37" x14ac:dyDescent="0.25">
      <c r="A16" s="1" t="s">
        <v>14</v>
      </c>
      <c r="B16" t="str" cm="1">
        <f t="array" ref="B16">CONCATENATE("""",A16,"""",":",,"""",getComment(A16),""",",)</f>
        <v>"Frachtform":"Code10",</v>
      </c>
      <c r="E16" s="1" t="s">
        <v>189</v>
      </c>
      <c r="F16" t="str" cm="1">
        <f t="array" ref="F16">CONCATENATE("""",E16,"""",":",,"""",getComment(E16),""",",)</f>
        <v>"Beschreibung Bereich-Ausprägungen":"Text100",</v>
      </c>
      <c r="G16" s="1" t="s">
        <v>205</v>
      </c>
      <c r="H16" t="str" cm="1">
        <f t="array" ref="H16">CONCATENATE("""",G16,"""",":",,"""",getComment(G16),""",",)</f>
        <v>"Bild Subvarianten Checksumme":"Code40",</v>
      </c>
      <c r="K16" s="1" t="s">
        <v>219</v>
      </c>
      <c r="L16" t="str" cm="1">
        <f t="array" ref="L16">CONCATENATE("""",K16,"""",":",,"""",getComment(K16),""",",)</f>
        <v>"Suchrelevant":"Boolean",</v>
      </c>
      <c r="Q16" s="1" t="s">
        <v>255</v>
      </c>
      <c r="R16" t="str" cm="1">
        <f t="array" ref="R16">CONCATENATE("""",Q16,"""",":",,"""",getComment(Q16),""",",)</f>
        <v>"Bedingungscode 4":"Text80",</v>
      </c>
      <c r="S16" s="1" t="s">
        <v>288</v>
      </c>
      <c r="T16" t="str" cm="1">
        <f t="array" ref="T16">CONCATENATE("""",S16,"""",":",,"""",getComment(S16),""",",)</f>
        <v>"Aktionscode 6":"Text80",</v>
      </c>
      <c r="W16" s="1" t="s">
        <v>315</v>
      </c>
      <c r="X16" t="str" cm="1">
        <f t="array" ref="X16">CONCATENATE("""",W16,"""",":",,"""",getComment(W16),""",",)</f>
        <v>"Aktion 2":"Code40",</v>
      </c>
      <c r="AE16" s="1" t="s">
        <v>356</v>
      </c>
      <c r="AF16" t="str" cm="1">
        <f t="array" ref="AF16">CONCATENATE("""",AE16,"""",":",,"""",getComment(AE16),""",",)</f>
        <v>"Fixe Ausschussmenge":"Decimal",</v>
      </c>
      <c r="AI16" s="1" t="s">
        <v>171</v>
      </c>
      <c r="AJ16" t="str" cm="1">
        <f t="array" ref="AJ16">CONCATENATE("""",AI16,"""",":",,"""",getComment(AI16),""",",)</f>
        <v>"Variantencode":"Code10",</v>
      </c>
      <c r="AK16" t="str" cm="1">
        <f t="array" ref="AK16">CONCATENATE("""",AJ16,"""",":",,"""",getComment(AJ16),""",",)</f>
        <v>""Variantencode":"Code10",":"",</v>
      </c>
    </row>
    <row r="17" spans="1:37" x14ac:dyDescent="0.25">
      <c r="A17" s="1" t="s">
        <v>15</v>
      </c>
      <c r="B17" t="str" cm="1">
        <f t="array" ref="B17">CONCATENATE("""",A17,"""",":",,"""",getComment(A17),""",",)</f>
        <v>"Zollpos.":"Code20",</v>
      </c>
      <c r="E17" s="1" t="s">
        <v>190</v>
      </c>
      <c r="F17" t="str" cm="1">
        <f t="array" ref="F17">CONCATENATE("""",E17,"""",":",,"""",getComment(E17),""",",)</f>
        <v>"Dimensionsrelevant":"Boolean",</v>
      </c>
      <c r="G17" s="1" t="s">
        <v>206</v>
      </c>
      <c r="H17" t="str" cm="1">
        <f t="array" ref="H17">CONCATENATE("""",G17,"""",":",,"""",getComment(G17),""",",)</f>
        <v>"Export Subvarianten Checksumme":"Code40",</v>
      </c>
      <c r="K17" s="1" t="s">
        <v>220</v>
      </c>
      <c r="L17" t="str" cm="1">
        <f t="array" ref="L17">CONCATENATE("""",K17,"""",":",,"""",getComment(K17),""",",)</f>
        <v>"Druck abhängig von Sachmerkmal":"Code10",</v>
      </c>
      <c r="Q17" s="1" t="s">
        <v>256</v>
      </c>
      <c r="R17" t="str" cm="1">
        <f t="array" ref="R17">CONCATENATE("""",Q17,"""",":",,"""",getComment(Q17),""",",)</f>
        <v>"Bedingungsart 5":"Option
0:  
1: Sachmerkmal
2: Tabellenfeld
3: NV-Numerische Variable
4: AV-Alphanumerische Variable
5: Artikelnr.",</v>
      </c>
      <c r="S17" s="1" t="s">
        <v>289</v>
      </c>
      <c r="T17" t="str" cm="1">
        <f t="array" ref="T17">CONCATENATE("""",S17,"""",":",,"""",getComment(S17),""",",)</f>
        <v>"Aktionsart 7":"Option
0: Sachmerkmal
1: Tabellenfeld
2: NV-Numerische Variable
3: AV-Alphanumerische Variable
4: Ja/Nein
5: Fehler
6: Meldung",</v>
      </c>
      <c r="W17" s="1" t="s">
        <v>316</v>
      </c>
      <c r="X17" t="str" cm="1">
        <f t="array" ref="X17">CONCATENATE("""",W17,"""",":",,"""",getComment(W17),""",",)</f>
        <v>"Aktion 3":"Code40",</v>
      </c>
      <c r="AE17" s="1" t="s">
        <v>45</v>
      </c>
      <c r="AF17" t="str" cm="1">
        <f t="array" ref="AF17">CONCATENATE("""",AE17,"""",":",,"""",getComment(AE17),""",",)</f>
        <v>"Losgröße":"Decimal",</v>
      </c>
      <c r="AI17" s="1" t="s">
        <v>104</v>
      </c>
      <c r="AJ17" t="str" cm="1">
        <f t="array" ref="AJ17">CONCATENATE("""",AI17,"""",":",,"""",getComment(AI17),""",",)</f>
        <v>"Startdatum":"Date",</v>
      </c>
      <c r="AK17" t="str" cm="1">
        <f t="array" ref="AK17">CONCATENATE("""",AJ17,"""",":",,"""",getComment(AJ17),""",",)</f>
        <v>""Startdatum":"Date",":"",</v>
      </c>
    </row>
    <row r="18" spans="1:37" x14ac:dyDescent="0.25">
      <c r="A18" s="1" t="s">
        <v>16</v>
      </c>
      <c r="B18" t="str" cm="1">
        <f t="array" ref="B18">CONCATENATE("""",A18,"""",":",,"""",getComment(A18),""",",)</f>
        <v>"Zollfaktor":"Decimal",</v>
      </c>
      <c r="E18" s="1" t="s">
        <v>191</v>
      </c>
      <c r="F18" t="str" cm="1">
        <f t="array" ref="F18">CONCATENATE("""",E18,"""",":",,"""",getComment(E18),""",",)</f>
        <v>"Druck identisch zum Modell":"Boolean",</v>
      </c>
      <c r="G18" s="2" t="s">
        <v>207</v>
      </c>
      <c r="H18" t="str" cm="1">
        <f t="array" ref="H18">CONCATENATE("""",G18,"""",":",,"""",getComment(G18),""",",)</f>
        <v>"Variantenstring Checksumme":"Code40",</v>
      </c>
      <c r="K18" s="1" t="s">
        <v>221</v>
      </c>
      <c r="L18" t="str" cm="1">
        <f t="array" ref="L18">CONCATENATE("""",K18,"""",":",,"""",getComment(K18),""",",)</f>
        <v>"Kurzeingabe erlaubt":"Boolean",</v>
      </c>
      <c r="Q18" s="1" t="s">
        <v>257</v>
      </c>
      <c r="R18" t="str" cm="1">
        <f t="array" ref="R18">CONCATENATE("""",Q18,"""",":",,"""",getComment(Q18),""",",)</f>
        <v>"Bedingung Instruktion 5":"Option
0: = gleich
1: &gt; größer
2: &gt;= größer oder gleich
3: &lt; kleiner
4: &lt;= kleiner oder gleich
5: &lt;&gt; ungleich
6: Wertefilter",</v>
      </c>
      <c r="S18" s="1" t="s">
        <v>290</v>
      </c>
      <c r="T18" t="str" cm="1">
        <f t="array" ref="T18">CONCATENATE("""",S18,"""",":",,"""",getComment(S18),""",",)</f>
        <v>"Aktionscode 7":"Text80",</v>
      </c>
      <c r="W18" s="1" t="s">
        <v>317</v>
      </c>
      <c r="X18" t="str" cm="1">
        <f t="array" ref="X18">CONCATENATE("""",W18,"""",":",,"""",getComment(W18),""",",)</f>
        <v>"Aktion 4":"Code40",</v>
      </c>
      <c r="AE18" s="1" t="s">
        <v>357</v>
      </c>
      <c r="AF18" t="str" cm="1">
        <f t="array" ref="AF18">CONCATENATE("""",AE18,"""",":",,"""",getComment(AE18),""",",)</f>
        <v>"Ausschussfaktor %":"Decimal",</v>
      </c>
      <c r="AI18" s="1" t="s">
        <v>105</v>
      </c>
      <c r="AJ18" t="str" cm="1">
        <f t="array" ref="AJ18">CONCATENATE("""",AI18,"""",":",,"""",getComment(AI18),""",",)</f>
        <v>"Enddatum":"Date",</v>
      </c>
      <c r="AK18" t="str" cm="1">
        <f t="array" ref="AK18">CONCATENATE("""",AJ18,"""",":",,"""",getComment(AJ18),""",",)</f>
        <v>""Enddatum":"Date",":"",</v>
      </c>
    </row>
    <row r="19" spans="1:37" x14ac:dyDescent="0.25">
      <c r="A19" s="1" t="s">
        <v>17</v>
      </c>
      <c r="B19" t="str" cm="1">
        <f t="array" ref="B19">CONCATENATE("""",A19,"""",":",,"""",getComment(A19),""",",)</f>
        <v>"Herkunftsland/-region":"Code10",</v>
      </c>
      <c r="E19" s="1" t="s">
        <v>192</v>
      </c>
      <c r="F19" t="str" cm="1">
        <f t="array" ref="F19">CONCATENATE("""",E19,"""",":",,"""",getComment(E19),""",",)</f>
        <v>"Sachmerkmalsgruppencode":"Code10",</v>
      </c>
      <c r="K19" s="1" t="s">
        <v>222</v>
      </c>
      <c r="L19" t="str" cm="1">
        <f t="array" ref="L19">CONCATENATE("""",K19,"""",":",,"""",getComment(K19),""",",)</f>
        <v>"Subvariante Lagerhaltung relevant":"Boolean",</v>
      </c>
      <c r="Q19" s="1" t="s">
        <v>258</v>
      </c>
      <c r="R19" t="str" cm="1">
        <f t="array" ref="R19">CONCATENATE("""",Q19,"""",":",,"""",getComment(Q19),""",",)</f>
        <v>"Bedingungscode 5":"Text80",</v>
      </c>
      <c r="S19" s="1" t="s">
        <v>291</v>
      </c>
      <c r="T19" t="str" cm="1">
        <f t="array" ref="T19">CONCATENATE("""",S19,"""",":",,"""",getComment(S19),""",",)</f>
        <v>"Aktionsart 8":"Option
0: Sachmerkmal
1: Tabellenfeld
2: NV-Numerische Variable
3: AV-Alphanumerische Variable
4: Ja/Nein
5: Fehler
6: Meldung",</v>
      </c>
      <c r="W19" s="1" t="s">
        <v>318</v>
      </c>
      <c r="X19" t="str" cm="1">
        <f t="array" ref="X19">CONCATENATE("""",W19,"""",":",,"""",getComment(W19),""",",)</f>
        <v>"Aktion 5":"Code40",</v>
      </c>
      <c r="AE19" s="1" t="s">
        <v>358</v>
      </c>
      <c r="AF19" t="str" cm="1">
        <f t="array" ref="AF19">CONCATENATE("""",AE19,"""",":",,"""",getComment(AE19),""",",)</f>
        <v>"Rüstzeiteinheitencode":"Code10",</v>
      </c>
      <c r="AI19" s="1" t="s">
        <v>178</v>
      </c>
      <c r="AJ19" t="str" cm="1">
        <f t="array" ref="AJ19">CONCATENATE("""",AI19,"""",":",,"""",getComment(AI19),""",",)</f>
        <v>"Länge":"Decimal",</v>
      </c>
      <c r="AK19" t="str" cm="1">
        <f t="array" ref="AK19">CONCATENATE("""",AJ19,"""",":",,"""",getComment(AJ19),""",",)</f>
        <v>""Länge":"Decimal",":"",</v>
      </c>
    </row>
    <row r="20" spans="1:37" x14ac:dyDescent="0.25">
      <c r="A20" s="1" t="s">
        <v>18</v>
      </c>
      <c r="B20" t="str" cm="1">
        <f t="array" ref="B20">CONCATENATE("""",A20,"""",":",,"""",getComment(A20),""",",)</f>
        <v>"Budgetierte Menge":"Decimal",</v>
      </c>
      <c r="E20" s="2" t="s">
        <v>193</v>
      </c>
      <c r="F20" t="str" cm="1">
        <f t="array" ref="F20">CONCATENATE("""",E20,"""",":",,"""",getComment(E20),""",",)</f>
        <v>"Globale Ausprägungen aktual.":"Boolean",</v>
      </c>
      <c r="K20" s="1" t="s">
        <v>182</v>
      </c>
      <c r="L20" t="str" cm="1">
        <f t="array" ref="L20">CONCATENATE("""",K20,"""",":",,"""",getComment(K20),""",",)</f>
        <v>"Ausprägung leer erlaubt":"Boolean",</v>
      </c>
      <c r="Q20" s="1" t="s">
        <v>259</v>
      </c>
      <c r="R20" t="str" cm="1">
        <f t="array" ref="R20">CONCATENATE("""",Q20,"""",":",,"""",getComment(Q20),""",",)</f>
        <v>"Bedingungsart 6":"Option
0:  
1: Sachmerkmal
2: Tabellenfeld
3: NV-Numerische Variable
4: AV-Alphanumerische Variable
5: Artikelnr.",</v>
      </c>
      <c r="S20" s="1" t="s">
        <v>292</v>
      </c>
      <c r="T20" t="str" cm="1">
        <f t="array" ref="T20">CONCATENATE("""",S20,"""",":",,"""",getComment(S20),""",",)</f>
        <v>"Aktionscode 8":"Text80",</v>
      </c>
      <c r="W20" s="1" t="s">
        <v>319</v>
      </c>
      <c r="X20" t="str" cm="1">
        <f t="array" ref="X20">CONCATENATE("""",W20,"""",":",,"""",getComment(W20),""",",)</f>
        <v>"Aktion 6":"Code40",</v>
      </c>
      <c r="AE20" s="1" t="s">
        <v>359</v>
      </c>
      <c r="AF20" t="str" cm="1">
        <f t="array" ref="AF20">CONCATENATE("""",AE20,"""",":",,"""",getComment(AE20),""",",)</f>
        <v>"Bearbeitungszeiteinheitencode":"Code10",</v>
      </c>
      <c r="AI20" s="1" t="s">
        <v>402</v>
      </c>
      <c r="AJ20" t="str" cm="1">
        <f t="array" ref="AJ20">CONCATENATE("""",AI20,"""",":",,"""",getComment(AI20),""",",)</f>
        <v>"Breite":"Decimal",</v>
      </c>
      <c r="AK20" t="str" cm="1">
        <f t="array" ref="AK20">CONCATENATE("""",AJ20,"""",":",,"""",getComment(AJ20),""",",)</f>
        <v>""Breite":"Decimal",":"",</v>
      </c>
    </row>
    <row r="21" spans="1:37" x14ac:dyDescent="0.25">
      <c r="A21" s="1" t="s">
        <v>19</v>
      </c>
      <c r="B21" t="str" cm="1">
        <f t="array" ref="B21">CONCATENATE("""",A21,"""",":",,"""",getComment(A21),""",",)</f>
        <v>"Budgetierter Betrag":"Decimal",</v>
      </c>
      <c r="K21" s="1" t="s">
        <v>223</v>
      </c>
      <c r="L21" t="str" cm="1">
        <f t="array" ref="L21">CONCATENATE("""",K21,"""",":",,"""",getComment(K21),""",",)</f>
        <v>"Subvariante Technik relevant":"Boolean",</v>
      </c>
      <c r="Q21" s="1" t="s">
        <v>260</v>
      </c>
      <c r="R21" t="str" cm="1">
        <f t="array" ref="R21">CONCATENATE("""",Q21,"""",":",,"""",getComment(Q21),""",",)</f>
        <v>"Bedingung Instruktion 6":"Option
0: = gleich
1: &gt; größer
2: &gt;= größer oder gleich
3: &lt; kleiner
4: &lt;= kleiner oder gleich
5: &lt;&gt; ungleich
6: Wertefilter",</v>
      </c>
      <c r="S21" s="1" t="s">
        <v>293</v>
      </c>
      <c r="T21" t="str" cm="1">
        <f t="array" ref="T21">CONCATENATE("""",S21,"""",":",,"""",getComment(S21),""",",)</f>
        <v>"Aktionsart 9":"Option
0: Sachmerkmal
1: Tabellenfeld
2: NV-Numerische Variable
3: AV-Alphanumerische Variable
4: Ja/Nein
5: Fehler
6: Meldung",</v>
      </c>
      <c r="W21" s="1" t="s">
        <v>320</v>
      </c>
      <c r="X21" t="str" cm="1">
        <f t="array" ref="X21">CONCATENATE("""",W21,"""",":",,"""",getComment(W21),""",",)</f>
        <v>"Aktion 7":"Code40",</v>
      </c>
      <c r="AE21" s="1" t="s">
        <v>360</v>
      </c>
      <c r="AF21" t="str" cm="1">
        <f t="array" ref="AF21">CONCATENATE("""",AE21,"""",":",,"""",getComment(AE21),""",",)</f>
        <v>"Wartezeiteinheitencode":"Code10",</v>
      </c>
      <c r="AI21" s="1" t="s">
        <v>403</v>
      </c>
      <c r="AJ21" t="str" cm="1">
        <f t="array" ref="AJ21">CONCATENATE("""",AI21,"""",":",,"""",getComment(AI21),""",",)</f>
        <v>"Gewicht":"Decimal",</v>
      </c>
      <c r="AK21" t="str" cm="1">
        <f t="array" ref="AK21">CONCATENATE("""",AJ21,"""",":",,"""",getComment(AJ21),""",",)</f>
        <v>""Gewicht":"Decimal",":"",</v>
      </c>
    </row>
    <row r="22" spans="1:37" x14ac:dyDescent="0.25">
      <c r="A22" s="1" t="s">
        <v>20</v>
      </c>
      <c r="B22" t="str" cm="1">
        <f t="array" ref="B22">CONCATENATE("""",A22,"""",":",,"""",getComment(A22),""",",)</f>
        <v>"Budgetierter DB":"Decimal",</v>
      </c>
      <c r="K22" s="1" t="s">
        <v>224</v>
      </c>
      <c r="L22" t="str" cm="1">
        <f t="array" ref="L22">CONCATENATE("""",K22,"""",":",,"""",getComment(K22),""",",)</f>
        <v>"Subvariante Verkauf relevant":"Boolean",</v>
      </c>
      <c r="Q22" s="1" t="s">
        <v>261</v>
      </c>
      <c r="R22" t="str" cm="1">
        <f t="array" ref="R22">CONCATENATE("""",Q22,"""",":",,"""",getComment(Q22),""",",)</f>
        <v>"Bedingungscode 6":"Text80",</v>
      </c>
      <c r="S22" s="1" t="s">
        <v>294</v>
      </c>
      <c r="T22" t="str" cm="1">
        <f t="array" ref="T22">CONCATENATE("""",S22,"""",":",,"""",getComment(S22),""",",)</f>
        <v>"Aktionscode 9":"Text80",</v>
      </c>
      <c r="W22" s="1" t="s">
        <v>321</v>
      </c>
      <c r="X22" t="str" cm="1">
        <f t="array" ref="X22">CONCATENATE("""",W22,"""",":",,"""",getComment(W22),""",",)</f>
        <v>"Aktion 8":"Code40",</v>
      </c>
      <c r="AE22" s="1" t="s">
        <v>361</v>
      </c>
      <c r="AF22" t="str" cm="1">
        <f t="array" ref="AF22">CONCATENATE("""",AE22,"""",":",,"""",getComment(AE22),""",",)</f>
        <v>"Transportzeiteinheitencode":"Code10",</v>
      </c>
      <c r="AI22" s="1" t="s">
        <v>404</v>
      </c>
      <c r="AJ22" t="str" cm="1">
        <f t="array" ref="AJ22">CONCATENATE("""",AI22,"""",":",,"""",getComment(AI22),""",",)</f>
        <v>"Tiefe":"Decimal",</v>
      </c>
      <c r="AK22" t="str" cm="1">
        <f t="array" ref="AK22">CONCATENATE("""",AJ22,"""",":",,"""",getComment(AJ22),""",",)</f>
        <v>""Tiefe":"Decimal",":"",</v>
      </c>
    </row>
    <row r="23" spans="1:37" x14ac:dyDescent="0.25">
      <c r="A23" s="1" t="s">
        <v>21</v>
      </c>
      <c r="B23" t="str" cm="1">
        <f t="array" ref="B23">CONCATENATE("""",A23,"""",":",,"""",getComment(A23),""",",)</f>
        <v>"Gesperrt":"Boolean",</v>
      </c>
      <c r="K23" s="1" t="s">
        <v>225</v>
      </c>
      <c r="L23" t="str" cm="1">
        <f t="array" ref="L23">CONCATENATE("""",K23,"""",":",,"""",getComment(K23),""",",)</f>
        <v>"Subvariante Produktion relevant":"Boolean",</v>
      </c>
      <c r="Q23" s="1" t="s">
        <v>262</v>
      </c>
      <c r="R23" t="str" cm="1">
        <f t="array" ref="R23">CONCATENATE("""",Q23,"""",":",,"""",getComment(Q23),""",",)</f>
        <v>"Bedingungsart 7":"Option
0:  
1: Sachmerkmal
2: Tabellenfeld
3: NV-Numerische Variable
4: AV-Alphanumerische Variable
5: Artikelnr.",</v>
      </c>
      <c r="S23" s="1" t="s">
        <v>295</v>
      </c>
      <c r="T23" t="str" cm="1">
        <f t="array" ref="T23">CONCATENATE("""",S23,"""",":",,"""",getComment(S23),""",",)</f>
        <v>"Aktionsart 10":"Option
0: Sachmerkmal
1: Tabellenfeld
2: NV-Numerische Variable
3: AV-Alphanumerische Variable
4: Ja/Nein
5: Fehler
6: Meldung",</v>
      </c>
      <c r="W23" s="1" t="s">
        <v>322</v>
      </c>
      <c r="X23" t="str" cm="1">
        <f t="array" ref="X23">CONCATENATE("""",W23,"""",":",,"""",getComment(W23),""",",)</f>
        <v>"Aktion 9":"Code40",</v>
      </c>
      <c r="AE23" s="1" t="s">
        <v>362</v>
      </c>
      <c r="AF23" t="str" cm="1">
        <f t="array" ref="AF23">CONCATENATE("""",AE23,"""",":",,"""",getComment(AE23),""",",)</f>
        <v>"Minimale Prozesszeit":"Decimal",</v>
      </c>
      <c r="AI23" s="1" t="s">
        <v>405</v>
      </c>
      <c r="AJ23" t="str" cm="1">
        <f t="array" ref="AJ23">CONCATENATE("""",AI23,"""",":",,"""",getComment(AI23),""",",)</f>
        <v>"Formel":"Option
0:  
1: Länge
2: Länge * Breite
3: Länge * Breite * Tiefe
4: Gewicht",</v>
      </c>
      <c r="AK23" t="str" cm="1">
        <f t="array" ref="AK23">CONCATENATE("""",AJ23,"""",":",,"""",getComment(AJ23),""",",)</f>
        <v>""Formel":"Option
0:  
1: Länge
2: Länge * Breite
3: Länge * Breite * Tiefe
4: Gewicht",":"",</v>
      </c>
    </row>
    <row r="24" spans="1:37" x14ac:dyDescent="0.25">
      <c r="A24" s="1" t="s">
        <v>22</v>
      </c>
      <c r="B24" t="str" cm="1">
        <f t="array" ref="B24">CONCATENATE("""",A24,"""",":",,"""",getComment(A24),""",",)</f>
        <v>"Sperrungsgrund":"Text250",</v>
      </c>
      <c r="K24" s="1" t="s">
        <v>226</v>
      </c>
      <c r="L24" t="str" cm="1">
        <f t="array" ref="L24">CONCATENATE("""",K24,"""",":",,"""",getComment(K24),""",",)</f>
        <v>"Subvariante Bild relevant":"Boolean",</v>
      </c>
      <c r="Q24" s="1" t="s">
        <v>263</v>
      </c>
      <c r="R24" t="str" cm="1">
        <f t="array" ref="R24">CONCATENATE("""",Q24,"""",":",,"""",getComment(Q24),""",",)</f>
        <v>"Bedingung Instruktion 7":"Option
0: = gleich
1: &gt; größer
2: &gt;= größer oder gleich
3: &lt; kleiner
4: &lt;= kleiner oder gleich
5: &lt;&gt; ungleich
6: Wertefilter",</v>
      </c>
      <c r="S24" s="1" t="s">
        <v>296</v>
      </c>
      <c r="T24" t="str" cm="1">
        <f t="array" ref="T24">CONCATENATE("""",S24,"""",":",,"""",getComment(S24),""",",)</f>
        <v>"Aktionscode 10":"Text80",</v>
      </c>
      <c r="W24" s="1" t="s">
        <v>323</v>
      </c>
      <c r="X24" t="str" cm="1">
        <f t="array" ref="X24">CONCATENATE("""",W24,"""",":",,"""",getComment(W24),""",",)</f>
        <v>"Aktion 10":"Code40",</v>
      </c>
      <c r="AE24" s="1" t="s">
        <v>363</v>
      </c>
      <c r="AF24" t="str" cm="1">
        <f t="array" ref="AF24">CONCATENATE("""",AE24,"""",":",,"""",getComment(AE24),""",",)</f>
        <v>"Maximale Prozesszeit":"Decimal",</v>
      </c>
      <c r="AI24" s="1" t="s">
        <v>406</v>
      </c>
      <c r="AJ24" t="str" cm="1">
        <f t="array" ref="AJ24">CONCATENATE("""",AI24,"""",":",,"""",getComment(AI24),""",",)</f>
        <v>"Komponentenmenge":"Decimal",</v>
      </c>
      <c r="AK24" t="str" cm="1">
        <f t="array" ref="AK24">CONCATENATE("""",AJ24,"""",":",,"""",getComment(AJ24),""",",)</f>
        <v>""Komponentenmenge":"Decimal",":"",</v>
      </c>
    </row>
    <row r="25" spans="1:37" x14ac:dyDescent="0.25">
      <c r="A25" s="1" t="s">
        <v>23</v>
      </c>
      <c r="B25" t="str" cm="1">
        <f t="array" ref="B25">CONCATENATE("""",A25,"""",":",,"""",getComment(A25),""",",)</f>
        <v>"Datum/Uhrzeit der letzten Änderung":"DateTime",</v>
      </c>
      <c r="K25" s="1" t="s">
        <v>227</v>
      </c>
      <c r="L25" t="str" cm="1">
        <f t="array" ref="L25">CONCATENATE("""",K25,"""",":",,"""",getComment(K25),""",",)</f>
        <v>"Subvariante Export relevant":"Boolean",</v>
      </c>
      <c r="Q25" s="1" t="s">
        <v>264</v>
      </c>
      <c r="R25" t="str" cm="1">
        <f t="array" ref="R25">CONCATENATE("""",Q25,"""",":",,"""",getComment(Q25),""",",)</f>
        <v>"Bedingungscode 7":"Text80",</v>
      </c>
      <c r="S25" s="2" t="s">
        <v>274</v>
      </c>
      <c r="T25" t="str" cm="1">
        <f t="array" ref="T25">CONCATENATE("""",S25,"""",":",,"""",getComment(S25),""",",)</f>
        <v>"Tabellenname":"Text250",</v>
      </c>
      <c r="W25" s="1" t="s">
        <v>324</v>
      </c>
      <c r="X25" t="str" cm="1">
        <f t="array" ref="X25">CONCATENATE("""",W25,"""",":",,"""",getComment(W25),""",",)</f>
        <v>"Nummerischer Bedingungswert 1":"Decimal",</v>
      </c>
      <c r="AE25" s="1" t="s">
        <v>364</v>
      </c>
      <c r="AF25" t="str" cm="1">
        <f t="array" ref="AF25">CONCATENATE("""",AE25,"""",":",,"""",getComment(AE25),""",",)</f>
        <v>"Gleichzeitig zu belasten":"Decimal",</v>
      </c>
      <c r="AI25" s="1" t="s">
        <v>407</v>
      </c>
      <c r="AJ25" t="str" cm="1">
        <f t="array" ref="AJ25">CONCATENATE("""",AI25,"""",":",,"""",getComment(AI25),""",",)</f>
        <v>"Variante ausprägen":"Boolean",</v>
      </c>
      <c r="AK25" t="str" cm="1">
        <f t="array" ref="AK25">CONCATENATE("""",AJ25,"""",":",,"""",getComment(AJ25),""",",)</f>
        <v>""Variante ausprägen":"Boolean",":"",</v>
      </c>
    </row>
    <row r="26" spans="1:37" x14ac:dyDescent="0.25">
      <c r="A26" s="1" t="s">
        <v>24</v>
      </c>
      <c r="B26" t="str" cm="1">
        <f t="array" ref="B26">CONCATENATE("""",A26,"""",":",,"""",getComment(A26),""",",)</f>
        <v>"Korrigiert am":"Date",</v>
      </c>
      <c r="K26" s="1" t="s">
        <v>228</v>
      </c>
      <c r="L26" t="str" cm="1">
        <f t="array" ref="L26">CONCATENATE("""",K26,"""",":",,"""",getComment(K26),""",",)</f>
        <v>"Autom. validieren F.u.R":"Boolean",</v>
      </c>
      <c r="Q26" s="1" t="s">
        <v>265</v>
      </c>
      <c r="R26" t="str" cm="1">
        <f t="array" ref="R26">CONCATENATE("""",Q26,"""",":",,"""",getComment(Q26),""",",)</f>
        <v>"Bedingungsart 8":"Option
0:  
1: Sachmerkmal
2: Tabellenfeld
3: NV-Numerische Variable
4: AV-Alphanumerische Variable
5: Artikelnr.",</v>
      </c>
      <c r="W26" s="1" t="s">
        <v>325</v>
      </c>
      <c r="X26" t="str" cm="1">
        <f t="array" ref="X26">CONCATENATE("""",W26,"""",":",,"""",getComment(W26),""",",)</f>
        <v>"Nummerischer Bedingungswert 2":"Decimal",</v>
      </c>
      <c r="AE26" s="1" t="s">
        <v>365</v>
      </c>
      <c r="AF26" t="str" cm="1">
        <f t="array" ref="AF26">CONCATENATE("""",AE26,"""",":",,"""",getComment(AE26),""",",)</f>
        <v>"Weitergabemenge":"Decimal",</v>
      </c>
      <c r="AI26" s="1" t="s">
        <v>408</v>
      </c>
      <c r="AJ26" t="str" cm="1">
        <f t="array" ref="AJ26">CONCATENATE("""",AI26,"""",":",,"""",getComment(AI26),""",",)</f>
        <v>"Auftragsposition generieren":"Boolean",</v>
      </c>
      <c r="AK26" t="str" cm="1">
        <f t="array" ref="AK26">CONCATENATE("""",AJ26,"""",":",,"""",getComment(AJ26),""",",)</f>
        <v>""Auftragsposition generieren":"Boolean",":"",</v>
      </c>
    </row>
    <row r="27" spans="1:37" x14ac:dyDescent="0.25">
      <c r="A27" s="1" t="s">
        <v>25</v>
      </c>
      <c r="B27" t="str" cm="1">
        <f t="array" ref="B27">CONCATENATE("""",A27,"""",":",,"""",getComment(A27),""",",)</f>
        <v>"Korrigiert um":"Time",</v>
      </c>
      <c r="K27" s="1" t="s">
        <v>229</v>
      </c>
      <c r="L27" t="str" cm="1">
        <f t="array" ref="L27">CONCATENATE("""",K27,"""",":",,"""",getComment(K27),""",",)</f>
        <v>"Sachmerkmale Druck Code":"Code10",</v>
      </c>
      <c r="Q27" s="1" t="s">
        <v>266</v>
      </c>
      <c r="R27" t="str" cm="1">
        <f t="array" ref="R27">CONCATENATE("""",Q27,"""",":",,"""",getComment(Q27),""",",)</f>
        <v>"Bedingung Instruktion 8":"Option
0: = gleich
1: &gt; größer
2: &gt;= größer oder gleich
3: &lt; kleiner
4: &lt;= kleiner oder gleich
5: &lt;&gt; ungleich
6: Wertefilter",</v>
      </c>
      <c r="W27" s="1" t="s">
        <v>326</v>
      </c>
      <c r="X27" t="str" cm="1">
        <f t="array" ref="X27">CONCATENATE("""",W27,"""",":",,"""",getComment(W27),""",",)</f>
        <v>"Nummerischer Bedingungswert 3":"Decimal",</v>
      </c>
      <c r="AE27" s="1" t="s">
        <v>366</v>
      </c>
      <c r="AF27" t="str" cm="1">
        <f t="array" ref="AF27">CONCATENATE("""",AE27,"""",":",,"""",getComment(AE27),""",",)</f>
        <v>"Verbindungscode":"Code10",</v>
      </c>
      <c r="AI27" s="1" t="s">
        <v>375</v>
      </c>
      <c r="AJ27" t="str" cm="1">
        <f t="array" ref="AJ27">CONCATENATE("""",AI27,"""",":",,"""",getComment(AI27),""",",)</f>
        <v>"Selekt Entscheidungscode":"Code20",</v>
      </c>
      <c r="AK27" t="str" cm="1">
        <f t="array" ref="AK27">CONCATENATE("""",AJ27,"""",":",,"""",getComment(AJ27),""",",)</f>
        <v>""Selekt Entscheidungscode":"Code20",":"",</v>
      </c>
    </row>
    <row r="28" spans="1:37" x14ac:dyDescent="0.25">
      <c r="A28" s="1" t="s">
        <v>26</v>
      </c>
      <c r="B28" t="str" cm="1">
        <f t="array" ref="B28">CONCATENATE("""",A28,"""",":",,"""",getComment(A28),""",",)</f>
        <v>"VK-Preis inkl. MwSt.":"Boolean",</v>
      </c>
      <c r="K28" s="1" t="s">
        <v>230</v>
      </c>
      <c r="L28" t="str" cm="1">
        <f t="array" ref="L28">CONCATENATE("""",K28,"""",":",,"""",getComment(K28),""",",)</f>
        <v>"Druckreihenfolge":"Integer",</v>
      </c>
      <c r="Q28" s="1" t="s">
        <v>267</v>
      </c>
      <c r="R28" t="str" cm="1">
        <f t="array" ref="R28">CONCATENATE("""",Q28,"""",":",,"""",getComment(Q28),""",",)</f>
        <v>"Bedingungscode 8":"Text80",</v>
      </c>
      <c r="W28" s="1" t="s">
        <v>327</v>
      </c>
      <c r="X28" t="str" cm="1">
        <f t="array" ref="X28">CONCATENATE("""",W28,"""",":",,"""",getComment(W28),""",",)</f>
        <v>"Nummerischer Bedingungswert 4":"Decimal",</v>
      </c>
      <c r="AE28" s="1" t="s">
        <v>367</v>
      </c>
      <c r="AF28" t="str" cm="1">
        <f t="array" ref="AF28">CONCATENATE("""",AE28,"""",":",,"""",getComment(AE28),""",",)</f>
        <v>"Standardkatalogcode":"Code10",</v>
      </c>
      <c r="AI28" s="1" t="s">
        <v>409</v>
      </c>
      <c r="AJ28" t="str" cm="1">
        <f t="array" ref="AJ28">CONCATENATE("""",AI28,"""",":",,"""",getComment(AI28),""",",)</f>
        <v>"Aufpreis":"Boolean",</v>
      </c>
      <c r="AK28" t="str" cm="1">
        <f t="array" ref="AK28">CONCATENATE("""",AJ28,"""",":",,"""",getComment(AJ28),""",",)</f>
        <v>""Aufpreis":"Boolean",":"",</v>
      </c>
    </row>
    <row r="29" spans="1:37" x14ac:dyDescent="0.25">
      <c r="A29" s="1" t="s">
        <v>27</v>
      </c>
      <c r="B29" t="str" cm="1">
        <f t="array" ref="B29">CONCATENATE("""",A29,"""",":",,"""",getComment(A29),""",",)</f>
        <v>"MwSt.-Geschäftsbuch.-G. (Preis)":"Code20",</v>
      </c>
      <c r="K29" s="1" t="s">
        <v>231</v>
      </c>
      <c r="L29" t="str" cm="1">
        <f t="array" ref="L29">CONCATENATE("""",K29,"""",":",,"""",getComment(K29),""",",)</f>
        <v>"Beschreibung Parameternr.":"Integer",</v>
      </c>
      <c r="Q29" s="1" t="s">
        <v>268</v>
      </c>
      <c r="R29" t="str" cm="1">
        <f t="array" ref="R29">CONCATENATE("""",Q29,"""",":",,"""",getComment(Q29),""",",)</f>
        <v>"Bedingungsart 9":"Option
0:  
1: Sachmerkmal
2: Tabellenfeld
3: NV-Numerische Variable
4: AV-Alphanumerische Variable
5: Artikelnr.",</v>
      </c>
      <c r="W29" s="1" t="s">
        <v>328</v>
      </c>
      <c r="X29" t="str" cm="1">
        <f t="array" ref="X29">CONCATENATE("""",W29,"""",":",,"""",getComment(W29),""",",)</f>
        <v>"Nummerischer Bedingungswert 5":"Decimal",</v>
      </c>
      <c r="AE29" s="1" t="s">
        <v>368</v>
      </c>
      <c r="AF29" t="str" cm="1">
        <f t="array" ref="AF29">CONCATENATE("""",AE29,"""",":",,"""",getComment(AE29),""",",)</f>
        <v>"Einstandspreis pro Einheit":"Decimal",</v>
      </c>
      <c r="AI29" s="1" t="s">
        <v>410</v>
      </c>
      <c r="AJ29" t="str" cm="1">
        <f t="array" ref="AJ29">CONCATENATE("""",AI29,"""",":",,"""",getComment(AI29),""",",)</f>
        <v>"Bestellposition generieren":"Boolean",</v>
      </c>
      <c r="AK29" t="str" cm="1">
        <f t="array" ref="AK29">CONCATENATE("""",AJ29,"""",":",,"""",getComment(AJ29),""",",)</f>
        <v>""Bestellposition generieren":"Boolean",":"",</v>
      </c>
    </row>
    <row r="30" spans="1:37" x14ac:dyDescent="0.25">
      <c r="A30" s="1" t="s">
        <v>28</v>
      </c>
      <c r="B30" t="str" cm="1">
        <f t="array" ref="B30">CONCATENATE("""",A30,"""",":",,"""",getComment(A30),""",",)</f>
        <v>"Produktbuchungsgruppe":"Code20",</v>
      </c>
      <c r="K30" s="1" t="s">
        <v>232</v>
      </c>
      <c r="L30" t="str" cm="1">
        <f t="array" ref="L30">CONCATENATE("""",K30,"""",":",,"""",getComment(K30),""",",)</f>
        <v>"Variantenstring Präfix":"Code10",</v>
      </c>
      <c r="Q30" s="1" t="s">
        <v>269</v>
      </c>
      <c r="R30" t="str" cm="1">
        <f t="array" ref="R30">CONCATENATE("""",Q30,"""",":",,"""",getComment(Q30),""",",)</f>
        <v>"Bedingung Instruktion 9":"Option
0: = gleich
1: &gt; größer
2: &gt;= größer oder gleich
3: &lt; kleiner
4: &lt;= kleiner oder gleich
5: &lt;&gt; ungleich
6: Wertefilter",</v>
      </c>
      <c r="W30" s="1" t="s">
        <v>329</v>
      </c>
      <c r="X30" t="str" cm="1">
        <f t="array" ref="X30">CONCATENATE("""",W30,"""",":",,"""",getComment(W30),""",",)</f>
        <v>"Nummerischer Bedingungswert 6":"Decimal",</v>
      </c>
      <c r="AE30" s="1" t="s">
        <v>369</v>
      </c>
      <c r="AF30" t="str" cm="1">
        <f t="array" ref="AF30">CONCATENATE("""",AE30,"""",":",,"""",getComment(AE30),""",",)</f>
        <v>"Neu berechnen":"Boolean",</v>
      </c>
      <c r="AI30" s="1" t="s">
        <v>411</v>
      </c>
      <c r="AJ30" t="str" cm="1">
        <f t="array" ref="AJ30">CONCATENATE("""",AI30,"""",":",,"""",getComment(AI30),""",",)</f>
        <v>"Aufpreis Einkauf":"Boolean",</v>
      </c>
      <c r="AK30" t="str" cm="1">
        <f t="array" ref="AK30">CONCATENATE("""",AJ30,"""",":",,"""",getComment(AJ30),""",",)</f>
        <v>""Aufpreis Einkauf":"Boolean",":"",</v>
      </c>
    </row>
    <row r="31" spans="1:37" x14ac:dyDescent="0.25">
      <c r="A31" s="1" t="s">
        <v>29</v>
      </c>
      <c r="B31" t="str" cm="1">
        <f t="array" ref="B31">CONCATENATE("""",A31,"""",":",,"""",getComment(A31),""",",)</f>
        <v>"Bild":"MediaSet",</v>
      </c>
      <c r="K31" s="2" t="s">
        <v>233</v>
      </c>
      <c r="L31" t="str" cm="1">
        <f t="array" ref="L31">CONCATENATE("""",K31,"""",":",,"""",getComment(K31),""",",)</f>
        <v>"Variantenstring Reihenfolge":"Integer",</v>
      </c>
      <c r="Q31" s="1" t="s">
        <v>270</v>
      </c>
      <c r="R31" t="str" cm="1">
        <f t="array" ref="R31">CONCATENATE("""",Q31,"""",":",,"""",getComment(Q31),""",",)</f>
        <v>"Bedingungscode 9":"Text80",</v>
      </c>
      <c r="W31" s="1" t="s">
        <v>330</v>
      </c>
      <c r="X31" t="str" cm="1">
        <f t="array" ref="X31">CONCATENATE("""",W31,"""",":",,"""",getComment(W31),""",",)</f>
        <v>"Nummerischer Bedingungswert 7":"Decimal",</v>
      </c>
      <c r="AE31" s="1" t="s">
        <v>370</v>
      </c>
      <c r="AF31" t="str" cm="1">
        <f t="array" ref="AF31">CONCATENATE("""",AE31,"""",":",,"""",getComment(AE31),""",",)</f>
        <v>"Reihenfolge (Vorwärts)":"Integer",</v>
      </c>
      <c r="AI31" s="1" t="s">
        <v>59</v>
      </c>
      <c r="AJ31" t="str" cm="1">
        <f t="array" ref="AJ31">CONCATENATE("""",AI31,"""",":",,"""",getComment(AI31),""",",)</f>
        <v>"Beschaffungsmethode":"Option
0: Einkauf
1: Fertigungsauftrag
2: Umlagerung
3: Montage
4:",</v>
      </c>
      <c r="AK31" t="str" cm="1">
        <f t="array" ref="AK31">CONCATENATE("""",AJ31,"""",":",,"""",getComment(AJ31),""",",)</f>
        <v>""Beschaffungsmethode":"Option
0: Einkauf
1: Fertigungsauftrag
2: Umlagerung
3: Montage
4:",":"",</v>
      </c>
    </row>
    <row r="32" spans="1:37" x14ac:dyDescent="0.25">
      <c r="A32" s="1" t="s">
        <v>30</v>
      </c>
      <c r="B32" t="str" cm="1">
        <f t="array" ref="B32">CONCATENATE("""",A32,"""",":",,"""",getComment(A32),""",",)</f>
        <v>"Ursprungsland/-region":"Code10",</v>
      </c>
      <c r="Q32" s="1" t="s">
        <v>271</v>
      </c>
      <c r="R32" t="str" cm="1">
        <f t="array" ref="R32">CONCATENATE("""",Q32,"""",":",,"""",getComment(Q32),""",",)</f>
        <v>"Bedingungsart 10":"Option
0:  
1: Sachmerkmal
2: Tabellenfeld
3: NV-Numerische Variable
4: AV-Alphanumerische Variable
5: Artikelnr.",</v>
      </c>
      <c r="W32" s="1" t="s">
        <v>331</v>
      </c>
      <c r="X32" t="str" cm="1">
        <f t="array" ref="X32">CONCATENATE("""",W32,"""",":",,"""",getComment(W32),""",",)</f>
        <v>"Nummerischer Bedingungswert 8":"Decimal",</v>
      </c>
      <c r="AE32" s="1" t="s">
        <v>371</v>
      </c>
      <c r="AF32" t="str" cm="1">
        <f t="array" ref="AF32">CONCATENATE("""",AE32,"""",":",,"""",getComment(AE32),""",",)</f>
        <v>"Reihenfolge (Rückwärts)":"Integer",</v>
      </c>
      <c r="AI32" s="1" t="s">
        <v>412</v>
      </c>
      <c r="AJ32" t="str" cm="1">
        <f t="array" ref="AJ32">CONCATENATE("""",AI32,"""",":",,"""",getComment(AI32),""",",)</f>
        <v>"Lagerortcode":"Code10",</v>
      </c>
      <c r="AK32" t="str" cm="1">
        <f t="array" ref="AK32">CONCATENATE("""",AJ32,"""",":",,"""",getComment(AJ32),""",",)</f>
        <v>""Lagerortcode":"Code10",":"",</v>
      </c>
    </row>
    <row r="33" spans="1:37" x14ac:dyDescent="0.25">
      <c r="A33" s="1" t="s">
        <v>31</v>
      </c>
      <c r="B33" t="str" cm="1">
        <f t="array" ref="B33">CONCATENATE("""",A33,"""",":",,"""",getComment(A33),""",",)</f>
        <v>"Automat. Textbaustein":"Boolean",</v>
      </c>
      <c r="Q33" s="1" t="s">
        <v>272</v>
      </c>
      <c r="R33" t="str" cm="1">
        <f t="array" ref="R33">CONCATENATE("""",Q33,"""",":",,"""",getComment(Q33),""",",)</f>
        <v>"Bedingung Instruktion 10":"Option
0: = gleich
1: &gt; größer
2: &gt;= größer oder gleich
3: &lt; kleiner
4: &lt;= kleiner oder gleich
5: &lt;&gt; ungleich
6: Wertefilter",</v>
      </c>
      <c r="W33" s="1" t="s">
        <v>332</v>
      </c>
      <c r="X33" t="str" cm="1">
        <f t="array" ref="X33">CONCATENATE("""",W33,"""",":",,"""",getComment(W33),""",",)</f>
        <v>"Nummerischer Bedingungswert 9":"Decimal",</v>
      </c>
      <c r="AE33" s="1" t="s">
        <v>372</v>
      </c>
      <c r="AF33" t="str" cm="1">
        <f t="array" ref="AF33">CONCATENATE("""",AE33,"""",":",,"""",getComment(AE33),""",",)</f>
        <v>"Kum. feste Ausschussmenge":"Decimal",</v>
      </c>
      <c r="AI33" s="1" t="s">
        <v>413</v>
      </c>
      <c r="AJ33" t="str" cm="1">
        <f t="array" ref="AJ33">CONCATENATE("""",AI33,"""",":",,"""",getComment(AI33),""",",)</f>
        <v>"Lfdnr. Variantenstückliste":"Integer",</v>
      </c>
      <c r="AK33" t="str" cm="1">
        <f t="array" ref="AK33">CONCATENATE("""",AJ33,"""",":",,"""",getComment(AJ33),""",",)</f>
        <v>""Lfdnr. Variantenstückliste":"Integer",":"",</v>
      </c>
    </row>
    <row r="34" spans="1:37" x14ac:dyDescent="0.25">
      <c r="A34" s="1" t="s">
        <v>32</v>
      </c>
      <c r="B34" t="str" cm="1">
        <f t="array" ref="B34">CONCATENATE("""",A34,"""",":",,"""",getComment(A34),""",",)</f>
        <v>"Nummernserie":"Code20",</v>
      </c>
      <c r="Q34" s="1" t="s">
        <v>273</v>
      </c>
      <c r="R34" t="str" cm="1">
        <f t="array" ref="R34">CONCATENATE("""",Q34,"""",":",,"""",getComment(Q34),""",",)</f>
        <v>"Bedingungscode 10":"Text80",</v>
      </c>
      <c r="W34" s="1" t="s">
        <v>333</v>
      </c>
      <c r="X34" t="str" cm="1">
        <f t="array" ref="X34">CONCATENATE("""",W34,"""",":",,"""",getComment(W34),""",",)</f>
        <v>"Nummerischer Bedingungswert 10":"Decimal",</v>
      </c>
      <c r="AE34" s="1" t="s">
        <v>373</v>
      </c>
      <c r="AF34" t="str" cm="1">
        <f t="array" ref="AF34">CONCATENATE("""",AE34,"""",":",,"""",getComment(AE34),""",",)</f>
        <v>"Kum. Ausschussfaktor %":"Decimal",</v>
      </c>
      <c r="AI34" s="1" t="s">
        <v>394</v>
      </c>
      <c r="AJ34" t="str" cm="1">
        <f t="array" ref="AJ34">CONCATENATE("""",AI34,"""",":",,"""",getComment(AI34),""",",)</f>
        <v>"Preisstückliste":"Boolean",</v>
      </c>
      <c r="AK34" t="str" cm="1">
        <f t="array" ref="AK34">CONCATENATE("""",AJ34,"""",":",,"""",getComment(AJ34),""",",)</f>
        <v>""Preisstückliste":"Boolean",":"",</v>
      </c>
    </row>
    <row r="35" spans="1:37" x14ac:dyDescent="0.25">
      <c r="A35" s="1" t="s">
        <v>33</v>
      </c>
      <c r="B35" t="str" cm="1">
        <f t="array" ref="B35">CONCATENATE("""",A35,"""",":",,"""",getComment(A35),""",",)</f>
        <v>"Steuergruppencode":"Code20",</v>
      </c>
      <c r="Q35" s="1" t="s">
        <v>274</v>
      </c>
      <c r="R35" t="str" cm="1">
        <f t="array" ref="R35">CONCATENATE("""",Q35,"""",":",,"""",getComment(Q35),""",",)</f>
        <v>"Tabellenname":"Text250",</v>
      </c>
      <c r="W35" s="2" t="s">
        <v>334</v>
      </c>
      <c r="X35" t="str" cm="1">
        <f t="array" ref="X35">CONCATENATE("""",W35,"""",":",,"""",getComment(W35),""",",)</f>
        <v>"Variantenchecksumme":"Code40",</v>
      </c>
      <c r="AE35" s="1" t="s">
        <v>374</v>
      </c>
      <c r="AF35" t="str" cm="1">
        <f t="array" ref="AF35">CONCATENATE("""",AE35,"""",":",,"""",getComment(AE35),""",",)</f>
        <v>"Arbeitsgangnr. num.":"Integer",</v>
      </c>
      <c r="AI35" s="1" t="s">
        <v>131</v>
      </c>
      <c r="AJ35" t="str" cm="1">
        <f t="array" ref="AJ35">CONCATENATE("""",AI35,"""",":",,"""",getComment(AI35),""",",)</f>
        <v>"Kalkulationsgruppencode":"Code10",</v>
      </c>
      <c r="AK35" t="str" cm="1">
        <f t="array" ref="AK35">CONCATENATE("""",AJ35,"""",":",,"""",getComment(AJ35),""",",)</f>
        <v>""Kalkulationsgruppencode":"Code10",":"",</v>
      </c>
    </row>
    <row r="36" spans="1:37" x14ac:dyDescent="0.25">
      <c r="A36" s="1" t="s">
        <v>34</v>
      </c>
      <c r="B36" t="str" cm="1">
        <f t="array" ref="B36">CONCATENATE("""",A36,"""",":",,"""",getComment(A36),""",",)</f>
        <v>"MwSt.-Produktbuchungsgruppe":"Code20",</v>
      </c>
      <c r="Q36" s="2" t="s">
        <v>275</v>
      </c>
      <c r="R36" t="str" cm="1">
        <f t="array" ref="R36">CONCATENATE("""",Q36,"""",":",,"""",getComment(Q36),""",",)</f>
        <v>"Leere Bedingung gültig":"Boolean",</v>
      </c>
      <c r="AE36" s="1" t="s">
        <v>375</v>
      </c>
      <c r="AF36" t="str" cm="1">
        <f t="array" ref="AF36">CONCATENATE("""",AE36,"""",":",,"""",getComment(AE36),""",",)</f>
        <v>"Selekt Entscheidungscode":"Code20",</v>
      </c>
      <c r="AI36" s="1" t="s">
        <v>138</v>
      </c>
      <c r="AJ36" t="str" cm="1">
        <f t="array" ref="AJ36">CONCATENATE("""",AI36,"""",":",,"""",getComment(AI36),""",",)</f>
        <v>"Colli":"Boolean",</v>
      </c>
      <c r="AK36" t="str" cm="1">
        <f t="array" ref="AK36">CONCATENATE("""",AJ36,"""",":",,"""",getComment(AJ36),""",",)</f>
        <v>""Colli":"Boolean",":"",</v>
      </c>
    </row>
    <row r="37" spans="1:37" x14ac:dyDescent="0.25">
      <c r="A37" s="1" t="s">
        <v>35</v>
      </c>
      <c r="B37" t="str" cm="1">
        <f t="array" ref="B37">CONCATENATE("""",A37,"""",":",,"""",getComment(A37),""",",)</f>
        <v>"Reservieren":"Option
0: Nie
1: Optional
2: Immer",</v>
      </c>
      <c r="AE37" s="1" t="s">
        <v>376</v>
      </c>
      <c r="AF37" t="str" cm="1">
        <f t="array" ref="AF37">CONCATENATE("""",AE37,"""",":",,"""",getComment(AE37),""",",)</f>
        <v>"Kalkulationsgruppe":"Code10",</v>
      </c>
      <c r="AI37" s="1" t="s">
        <v>140</v>
      </c>
      <c r="AJ37" t="str" cm="1">
        <f t="array" ref="AJ37">CONCATENATE("""",AI37,"""",":",,"""",getComment(AI37),""",",)</f>
        <v>"Menge ignorieren für Packstückbildung":"Boolean",</v>
      </c>
      <c r="AK37" t="str" cm="1">
        <f t="array" ref="AK37">CONCATENATE("""",AJ37,"""",":",,"""",getComment(AJ37),""",",)</f>
        <v>""Menge ignorieren für Packstückbildung":"Boolean",":"",</v>
      </c>
    </row>
    <row r="38" spans="1:37" x14ac:dyDescent="0.25">
      <c r="A38" s="1" t="s">
        <v>36</v>
      </c>
      <c r="B38" t="str" cm="1">
        <f t="array" ref="B38">CONCATENATE("""",A38,"""",":",,"""",getComment(A38),""",",)</f>
        <v>"Globaler Dimensionscode 1":"Code20",</v>
      </c>
      <c r="AE38" s="1" t="s">
        <v>377</v>
      </c>
      <c r="AF38" t="str" cm="1">
        <f t="array" ref="AF38">CONCATENATE("""",AE38,"""",":",,"""",getComment(AE38),""",",)</f>
        <v>"CNC-Nr.":"Code20",</v>
      </c>
      <c r="AI38" s="1" t="s">
        <v>414</v>
      </c>
      <c r="AJ38" t="str" cm="1">
        <f t="array" ref="AJ38">CONCATENATE("""",AI38,"""",":",,"""",getComment(AI38),""",",)</f>
        <v>"Packstückgruppe":"Code10",</v>
      </c>
      <c r="AK38" t="str" cm="1">
        <f t="array" ref="AK38">CONCATENATE("""",AJ38,"""",":",,"""",getComment(AJ38),""",",)</f>
        <v>""Packstückgruppe":"Code10",":"",</v>
      </c>
    </row>
    <row r="39" spans="1:37" x14ac:dyDescent="0.25">
      <c r="A39" s="1" t="s">
        <v>37</v>
      </c>
      <c r="B39" t="str" cm="1">
        <f t="array" ref="B39">CONCATENATE("""",A39,"""",":",,"""",getComment(A39),""",",)</f>
        <v>"Globaler Dimensionscode 2":"Code20",</v>
      </c>
      <c r="AE39" s="1" t="s">
        <v>378</v>
      </c>
      <c r="AF39" t="str" cm="1">
        <f t="array" ref="AF39">CONCATENATE("""",AE39,"""",":",,"""",getComment(AE39),""",",)</f>
        <v>"Fertigmass Stärke":"Decimal",</v>
      </c>
      <c r="AI39" s="1" t="s">
        <v>415</v>
      </c>
      <c r="AJ39" t="str" cm="1">
        <f t="array" ref="AJ39">CONCATENATE("""",AI39,"""",":",,"""",getComment(AI39),""",",)</f>
        <v>"Variantenstückliste Belegart":"Option
0: Angebot
1: Auftrag
2: Rechnung
3: Gutschrift
4: Rahmenauftrag
5: Artikel
6: Variantenstückliste
7: 
8: 
9: 
10: IMOS",</v>
      </c>
      <c r="AK39" t="str" cm="1">
        <f t="array" ref="AK39">CONCATENATE("""",AJ39,"""",":",,"""",getComment(AJ39),""",",)</f>
        <v>""Variantenstückliste Belegart":"Option
0: Angebot
1: Auftrag
2: Rechnung
3: Gutschrift
4: Rahmenauftrag
5: Artikel
6: Variantenstückliste
7: 
8: 
9: 
10: IMOS",":"",</v>
      </c>
    </row>
    <row r="40" spans="1:37" x14ac:dyDescent="0.25">
      <c r="A40" s="1" t="s">
        <v>38</v>
      </c>
      <c r="B40" t="str" cm="1">
        <f t="array" ref="B40">CONCATENATE("""",A40,"""",":",,"""",getComment(A40),""",",)</f>
        <v>"Bestandswarnung":"Option
0: Standard
1: Nein
2: Ja",</v>
      </c>
      <c r="AE40" s="1" t="s">
        <v>379</v>
      </c>
      <c r="AF40" t="str" cm="1">
        <f t="array" ref="AF40">CONCATENATE("""",AE40,"""",":",,"""",getComment(AE40),""",",)</f>
        <v>"Fertigmaß Breite":"Decimal",</v>
      </c>
      <c r="AI40" s="1" t="s">
        <v>416</v>
      </c>
      <c r="AJ40" t="str" cm="1">
        <f t="array" ref="AJ40">CONCATENATE("""",AI40,"""",":",,"""",getComment(AI40),""",",)</f>
        <v>"Variantenstückliste  Belegnr.":"Code20",</v>
      </c>
      <c r="AK40" t="str" cm="1">
        <f t="array" ref="AK40">CONCATENATE("""",AJ40,"""",":",,"""",getComment(AJ40),""",",)</f>
        <v>""Variantenstückliste  Belegnr.":"Code20",":"",</v>
      </c>
    </row>
    <row r="41" spans="1:37" x14ac:dyDescent="0.25">
      <c r="A41" s="1" t="s">
        <v>39</v>
      </c>
      <c r="B41" t="str" cm="1">
        <f t="array" ref="B41">CONCATENATE("""",A41,"""",":",,"""",getComment(A41),""",",)</f>
        <v>"Negativen Lagerbestand verhindern":"Option
0: Standard
1: Nein
2: Ja",</v>
      </c>
      <c r="AE41" s="1" t="s">
        <v>380</v>
      </c>
      <c r="AF41" t="str" cm="1">
        <f t="array" ref="AF41">CONCATENATE("""",AE41,"""",":",,"""",getComment(AE41),""",",)</f>
        <v>"Fertigmaß Länge":"Decimal",</v>
      </c>
      <c r="AI41" s="1" t="s">
        <v>417</v>
      </c>
      <c r="AJ41" t="str" cm="1">
        <f t="array" ref="AJ41">CONCATENATE("""",AI41,"""",":",,"""",getComment(AI41),""",",)</f>
        <v>"Variantenstückliste Belegzeilennr.":"Integer",</v>
      </c>
      <c r="AK41" t="str" cm="1">
        <f t="array" ref="AK41">CONCATENATE("""",AJ41,"""",":",,"""",getComment(AJ41),""",",)</f>
        <v>""Variantenstückliste Belegzeilennr.":"Integer",":"",</v>
      </c>
    </row>
    <row r="42" spans="1:37" x14ac:dyDescent="0.25">
      <c r="A42" s="1" t="s">
        <v>40</v>
      </c>
      <c r="B42" t="str" cm="1">
        <f t="array" ref="B42">CONCATENATE("""",A42,"""",":",,"""",getComment(A42),""",",)</f>
        <v>"Benutzer-ID für Ausgleichsvorschlag":"Code128",</v>
      </c>
      <c r="AE42" s="1" t="s">
        <v>381</v>
      </c>
      <c r="AF42" t="str" cm="1">
        <f t="array" ref="AF42">CONCATENATE("""",AE42,"""",":",,"""",getComment(AE42),""",",)</f>
        <v>"Rohmass Stärke":"Decimal",</v>
      </c>
      <c r="AI42" s="1" t="s">
        <v>174</v>
      </c>
      <c r="AJ42" t="str" cm="1">
        <f t="array" ref="AJ42">CONCATENATE("""",AI42,"""",":",,"""",getComment(AI42),""",",)</f>
        <v>"Beschreibung 2":"Text50",</v>
      </c>
      <c r="AK42" t="str" cm="1">
        <f t="array" ref="AK42">CONCATENATE("""",AJ42,"""",":",,"""",getComment(AJ42),""",",)</f>
        <v>""Beschreibung 2":"Text50",":"",</v>
      </c>
    </row>
    <row r="43" spans="1:37" x14ac:dyDescent="0.25">
      <c r="A43" s="1" t="s">
        <v>41</v>
      </c>
      <c r="B43" t="str" cm="1">
        <f t="array" ref="B43">CONCATENATE("""",A43,"""",":",,"""",getComment(A43),""",",)</f>
        <v>"Montagerichtlinie":"Option
0: Lagerfertigung
1: Programmfertigung",</v>
      </c>
      <c r="AE43" s="1" t="s">
        <v>382</v>
      </c>
      <c r="AF43" t="str" cm="1">
        <f t="array" ref="AF43">CONCATENATE("""",AE43,"""",":",,"""",getComment(AE43),""",",)</f>
        <v>"Sortierung Pulk 1":"Integer",</v>
      </c>
      <c r="AI43" s="1" t="s">
        <v>150</v>
      </c>
      <c r="AJ43" t="str" cm="1">
        <f t="array" ref="AJ43">CONCATENATE("""",AI43,"""",":",,"""",getComment(AI43),""",",)</f>
        <v>"Aus externem System":"Boolean",</v>
      </c>
      <c r="AK43" t="str" cm="1">
        <f t="array" ref="AK43">CONCATENATE("""",AJ43,"""",":",,"""",getComment(AJ43),""",",)</f>
        <v>""Aus externem System":"Boolean",":"",</v>
      </c>
    </row>
    <row r="44" spans="1:37" x14ac:dyDescent="0.25">
      <c r="A44" s="1" t="s">
        <v>42</v>
      </c>
      <c r="B44" t="str" cm="1">
        <f t="array" ref="B44">CONCATENATE("""",A44,"""",":",,"""",getComment(A44),""",",)</f>
        <v>"GTIN":"Code14",</v>
      </c>
      <c r="AE44" s="1" t="s">
        <v>383</v>
      </c>
      <c r="AF44" t="str" cm="1">
        <f t="array" ref="AF44">CONCATENATE("""",AE44,"""",":",,"""",getComment(AE44),""",",)</f>
        <v>"Sortierung Pulk 2":"Integer",</v>
      </c>
      <c r="AI44" s="2" t="s">
        <v>418</v>
      </c>
      <c r="AJ44" t="str" cm="1">
        <f t="array" ref="AJ44">CONCATENATE("""",AI44,"""",":",,"""",getComment(AI44),""",",)</f>
        <v>"Zeichnungsposition Nr.":"Text20",</v>
      </c>
      <c r="AK44" t="str" cm="1">
        <f t="array" ref="AK44">CONCATENATE("""",AJ44,"""",":",,"""",getComment(AJ44),""",",)</f>
        <v>""Zeichnungsposition Nr.":"Text20",":"",</v>
      </c>
    </row>
    <row r="45" spans="1:37" x14ac:dyDescent="0.25">
      <c r="A45" s="1" t="s">
        <v>43</v>
      </c>
      <c r="B45" t="str" cm="1">
        <f t="array" ref="B45">CONCATENATE("""",A45,"""",":",,"""",getComment(A45),""",",)</f>
        <v>"Standard-Abgrenzungsvorlagencode":"Code10",</v>
      </c>
      <c r="AE45" s="1" t="s">
        <v>384</v>
      </c>
      <c r="AF45" t="str" cm="1">
        <f t="array" ref="AF45">CONCATENATE("""",AE45,"""",":",,"""",getComment(AE45),""",",)</f>
        <v>"Sortierung Pulk 3":"Integer",</v>
      </c>
    </row>
    <row r="46" spans="1:37" x14ac:dyDescent="0.25">
      <c r="A46" s="1" t="s">
        <v>44</v>
      </c>
      <c r="B46" t="str" cm="1">
        <f t="array" ref="B46">CONCATENATE("""",A46,"""",":",,"""",getComment(A46),""",",)</f>
        <v>"Stücklistenebene":"Integer",</v>
      </c>
      <c r="AE46" s="1" t="s">
        <v>385</v>
      </c>
      <c r="AF46" t="str" cm="1">
        <f t="array" ref="AF46">CONCATENATE("""",AE46,"""",":",,"""",getComment(AE46),""",",)</f>
        <v>"Sortierung Pulk 4":"Integer",</v>
      </c>
    </row>
    <row r="47" spans="1:37" x14ac:dyDescent="0.25">
      <c r="A47" s="1" t="s">
        <v>45</v>
      </c>
      <c r="B47" t="str" cm="1">
        <f t="array" ref="B47">CONCATENATE("""",A47,"""",":",,"""",getComment(A47),""",",)</f>
        <v>"Losgröße":"Decimal",</v>
      </c>
      <c r="AE47" s="1" t="s">
        <v>386</v>
      </c>
      <c r="AF47" t="str" cm="1">
        <f t="array" ref="AF47">CONCATENATE("""",AE47,"""",":",,"""",getComment(AE47),""",",)</f>
        <v>"Sortierung Pulk 5":"Integer",</v>
      </c>
    </row>
    <row r="48" spans="1:37" x14ac:dyDescent="0.25">
      <c r="A48" s="1" t="s">
        <v>46</v>
      </c>
      <c r="B48" t="str" cm="1">
        <f t="array" ref="B48">CONCATENATE("""",A48,"""",":",,"""",getComment(A48),""",",)</f>
        <v>"Seriennummern":"Code20",</v>
      </c>
      <c r="AE48" s="1" t="s">
        <v>387</v>
      </c>
      <c r="AF48" t="str" cm="1">
        <f t="array" ref="AF48">CONCATENATE("""",AE48,"""",":",,"""",getComment(AE48),""",",)</f>
        <v>"Rohmaß Länge":"Decimal",</v>
      </c>
    </row>
    <row r="49" spans="1:32" x14ac:dyDescent="0.25">
      <c r="A49" s="1" t="s">
        <v>47</v>
      </c>
      <c r="B49" t="str" cm="1">
        <f t="array" ref="B49">CONCATENATE("""",A49,"""",":",,"""",getComment(A49),""",",)</f>
        <v>"Datum letzte Einst.-Preisber.":"Date",</v>
      </c>
      <c r="AE49" s="1" t="s">
        <v>388</v>
      </c>
      <c r="AF49" t="str" cm="1">
        <f t="array" ref="AF49">CONCATENATE("""",AE49,"""",":",,"""",getComment(AE49),""",",)</f>
        <v>"Rohmass Breite":"Decimal",</v>
      </c>
    </row>
    <row r="50" spans="1:32" x14ac:dyDescent="0.25">
      <c r="A50" s="1" t="s">
        <v>48</v>
      </c>
      <c r="B50" t="str" cm="1">
        <f t="array" ref="B50">CONCATENATE("""",A50,"""",":",,"""",getComment(A50),""",",)</f>
        <v>"Mehrstufige Materialkosten":"Decimal",</v>
      </c>
      <c r="AE50" s="1" t="s">
        <v>389</v>
      </c>
      <c r="AF50" t="str" cm="1">
        <f t="array" ref="AF50">CONCATENATE("""",AE50,"""",":",,"""",getComment(AE50),""",",)</f>
        <v>"Taktung":"Option
0: Aufwand
1: Dauer",</v>
      </c>
    </row>
    <row r="51" spans="1:32" x14ac:dyDescent="0.25">
      <c r="A51" s="1" t="s">
        <v>49</v>
      </c>
      <c r="B51" t="str" cm="1">
        <f t="array" ref="B51">CONCATENATE("""",A51,"""",":",,"""",getComment(A51),""",",)</f>
        <v>"Mehrstufige Kapazitätskosten":"Decimal",</v>
      </c>
      <c r="AE51" s="2" t="s">
        <v>390</v>
      </c>
      <c r="AF51" t="str" cm="1">
        <f t="array" ref="AF51">CONCATENATE("""",AE51,"""",":",,"""",getComment(AE51),""",",)</f>
        <v>"Dauertaktungszeit":"Decimal",</v>
      </c>
    </row>
    <row r="52" spans="1:32" x14ac:dyDescent="0.25">
      <c r="A52" s="1" t="s">
        <v>50</v>
      </c>
      <c r="B52" t="str" cm="1">
        <f t="array" ref="B52">CONCATENATE("""",A52,"""",":",,"""",getComment(A52),""",",)</f>
        <v>"Ausschuss %":"Decimal",</v>
      </c>
    </row>
    <row r="53" spans="1:32" x14ac:dyDescent="0.25">
      <c r="A53" s="1" t="s">
        <v>51</v>
      </c>
      <c r="B53" t="str" cm="1">
        <f t="array" ref="B53">CONCATENATE("""",A53,"""",":",,"""",getComment(A53),""",",)</f>
        <v>"Ohne Lagerbewertung":"Boolean",</v>
      </c>
    </row>
    <row r="54" spans="1:32" x14ac:dyDescent="0.25">
      <c r="A54" s="1" t="s">
        <v>52</v>
      </c>
      <c r="B54" t="str" cm="1">
        <f t="array" ref="B54">CONCATENATE("""",A54,"""",":",,"""",getComment(A54),""",",)</f>
        <v>"Anzahl Zyklen zusammenfassen":"Integer",</v>
      </c>
    </row>
    <row r="55" spans="1:32" x14ac:dyDescent="0.25">
      <c r="A55" s="1" t="s">
        <v>53</v>
      </c>
      <c r="B55" t="str" cm="1">
        <f t="array" ref="B55">CONCATENATE("""",A55,"""",":",,"""",getComment(A55),""",",)</f>
        <v>"Minimale Losgröße":"Decimal",</v>
      </c>
    </row>
    <row r="56" spans="1:32" x14ac:dyDescent="0.25">
      <c r="A56" s="1" t="s">
        <v>54</v>
      </c>
      <c r="B56" t="str" cm="1">
        <f t="array" ref="B56">CONCATENATE("""",A56,"""",":",,"""",getComment(A56),""",",)</f>
        <v>"Maximale Losgröße":"Decimal",</v>
      </c>
    </row>
    <row r="57" spans="1:32" x14ac:dyDescent="0.25">
      <c r="A57" s="1" t="s">
        <v>55</v>
      </c>
      <c r="B57" t="str" cm="1">
        <f t="array" ref="B57">CONCATENATE("""",A57,"""",":",,"""",getComment(A57),""",",)</f>
        <v>"Sicherheitsbestand":"Decimal",</v>
      </c>
    </row>
    <row r="58" spans="1:32" x14ac:dyDescent="0.25">
      <c r="A58" s="1" t="s">
        <v>56</v>
      </c>
      <c r="B58" t="str" cm="1">
        <f t="array" ref="B58">CONCATENATE("""",A58,"""",":",,"""",getComment(A58),""",",)</f>
        <v>"Losgrößenrundungsfaktor":"Decimal",</v>
      </c>
    </row>
    <row r="59" spans="1:32" x14ac:dyDescent="0.25">
      <c r="A59" s="1" t="s">
        <v>57</v>
      </c>
      <c r="B59" t="str" cm="1">
        <f t="array" ref="B59">CONCATENATE("""",A59,"""",":",,"""",getComment(A59),""",",)</f>
        <v>"Sicherh.-Zuschl. Beschaff.-Zt.":"DateFormula",</v>
      </c>
    </row>
    <row r="60" spans="1:32" x14ac:dyDescent="0.25">
      <c r="A60" s="1" t="s">
        <v>58</v>
      </c>
      <c r="B60" t="str" cm="1">
        <f t="array" ref="B60">CONCATENATE("""",A60,"""",":",,"""",getComment(A60),""",",)</f>
        <v>"Buchungsmethode":"Option
0: Manuell
1: Vorwärts
2: Rückwärts
3: Kommiss. + Vorwärts
4: Kommiss. + Rückwärts",</v>
      </c>
    </row>
    <row r="61" spans="1:32" x14ac:dyDescent="0.25">
      <c r="A61" s="1" t="s">
        <v>59</v>
      </c>
      <c r="B61" t="str" cm="1">
        <f t="array" ref="B61">CONCATENATE("""",A61,"""",":",,"""",getComment(A61),""",",)</f>
        <v>"Beschaffungsmethode":"Option
0: Einkauf
1: Fertigungsauftrag
2: Umlagerung
3: Montage
4:",</v>
      </c>
    </row>
    <row r="62" spans="1:32" x14ac:dyDescent="0.25">
      <c r="A62" s="1" t="s">
        <v>60</v>
      </c>
      <c r="B62" t="str" cm="1">
        <f t="array" ref="B62">CONCATENATE("""",A62,"""",":",,"""",getComment(A62),""",",)</f>
        <v>"Rundungspräzision":"Decimal",</v>
      </c>
    </row>
    <row r="63" spans="1:32" x14ac:dyDescent="0.25">
      <c r="A63" s="1" t="s">
        <v>61</v>
      </c>
      <c r="B63" t="str" cm="1">
        <f t="array" ref="B63">CONCATENATE("""",A63,"""",":",,"""",getComment(A63),""",",)</f>
        <v>"Verkaufseinheitencode":"Code10",</v>
      </c>
    </row>
    <row r="64" spans="1:32" x14ac:dyDescent="0.25">
      <c r="A64" s="1" t="s">
        <v>62</v>
      </c>
      <c r="B64" t="str" cm="1">
        <f t="array" ref="B64">CONCATENATE("""",A64,"""",":",,"""",getComment(A64),""",",)</f>
        <v>"Einkaufseinheitencode":"Code10",</v>
      </c>
    </row>
    <row r="65" spans="1:2" x14ac:dyDescent="0.25">
      <c r="A65" s="1" t="s">
        <v>63</v>
      </c>
      <c r="B65" t="str" cm="1">
        <f t="array" ref="B65">CONCATENATE("""",A65,"""",":",,"""",getComment(A65),""",",)</f>
        <v>"Zeitrahmen":"DateFormula",</v>
      </c>
    </row>
    <row r="66" spans="1:2" x14ac:dyDescent="0.25">
      <c r="A66" s="1" t="s">
        <v>64</v>
      </c>
      <c r="B66" t="str" cm="1">
        <f t="array" ref="B66">CONCATENATE("""",A66,"""",":",,"""",getComment(A66),""",",)</f>
        <v>"Wiederbeschaffungsverfahren":"Option
0:  
1: Feste Bestellmenge
2: Auffüllen auf Maximalbestand
3: Auftrag
4: Los-für-Los",</v>
      </c>
    </row>
    <row r="67" spans="1:2" x14ac:dyDescent="0.25">
      <c r="A67" s="1" t="s">
        <v>65</v>
      </c>
      <c r="B67" t="str" cm="1">
        <f t="array" ref="B67">CONCATENATE("""",A67,"""",":",,"""",getComment(A67),""",",)</f>
        <v>"Lagerbestand berücksichtigen":"Boolean",</v>
      </c>
    </row>
    <row r="68" spans="1:2" x14ac:dyDescent="0.25">
      <c r="A68" s="1" t="s">
        <v>66</v>
      </c>
      <c r="B68" t="str" cm="1">
        <f t="array" ref="B68">CONCATENATE("""",A68,"""",":",,"""",getComment(A68),""",",)</f>
        <v>"Produktionsart":"Option
0: Lagerfertigung
1: Auftragsfertigung",</v>
      </c>
    </row>
    <row r="69" spans="1:2" x14ac:dyDescent="0.25">
      <c r="A69" s="1" t="s">
        <v>67</v>
      </c>
      <c r="B69" t="str" cm="1">
        <f t="array" ref="B69">CONCATENATE("""",A69,"""",":",,"""",getComment(A69),""",",)</f>
        <v>"Neuplanungsperiode":"DateFormula",</v>
      </c>
    </row>
    <row r="70" spans="1:2" x14ac:dyDescent="0.25">
      <c r="A70" s="1" t="s">
        <v>68</v>
      </c>
      <c r="B70" t="str" cm="1">
        <f t="array" ref="B70">CONCATENATE("""",A70,"""",":",,"""",getComment(A70),""",",)</f>
        <v>"Loskumulierungsperiode":"DateFormula",</v>
      </c>
    </row>
    <row r="71" spans="1:2" x14ac:dyDescent="0.25">
      <c r="A71" s="1" t="s">
        <v>69</v>
      </c>
      <c r="B71" t="str" cm="1">
        <f t="array" ref="B71">CONCATENATE("""",A71,"""",":",,"""",getComment(A71),""",",)</f>
        <v>"Toleranzperiode":"DateFormula",</v>
      </c>
    </row>
    <row r="72" spans="1:2" x14ac:dyDescent="0.25">
      <c r="A72" s="1" t="s">
        <v>70</v>
      </c>
      <c r="B72" t="str" cm="1">
        <f t="array" ref="B72">CONCATENATE("""",A72,"""",":",,"""",getComment(A72),""",",)</f>
        <v>"Toleranzmenge":"Decimal",</v>
      </c>
    </row>
    <row r="73" spans="1:2" x14ac:dyDescent="0.25">
      <c r="A73" s="1" t="s">
        <v>71</v>
      </c>
      <c r="B73" t="str" cm="1">
        <f t="array" ref="B73">CONCATENATE("""",A73,"""",":",,"""",getComment(A73),""",",)</f>
        <v>"Überlauflevel":"Decimal",</v>
      </c>
    </row>
    <row r="74" spans="1:2" x14ac:dyDescent="0.25">
      <c r="A74" s="1" t="s">
        <v>72</v>
      </c>
      <c r="B74" t="str" cm="1">
        <f t="array" ref="B74">CONCATENATE("""",A74,"""",":",,"""",getComment(A74),""",",)</f>
        <v>"Herstellercode":"Code10",</v>
      </c>
    </row>
    <row r="75" spans="1:2" x14ac:dyDescent="0.25">
      <c r="A75" s="1" t="s">
        <v>73</v>
      </c>
      <c r="B75" t="str" cm="1">
        <f t="array" ref="B75">CONCATENATE("""",A75,"""",":",,"""",getComment(A75),""",",)</f>
        <v>"Artikelkategoriencode":"Code20",</v>
      </c>
    </row>
    <row r="76" spans="1:2" x14ac:dyDescent="0.25">
      <c r="A76" s="1" t="s">
        <v>74</v>
      </c>
      <c r="B76" t="str" cm="1">
        <f t="array" ref="B76">CONCATENATE("""",A76,"""",":",,"""",getComment(A76),""",",)</f>
        <v>"Aus Katalogartikel erstellt":"Boolean",</v>
      </c>
    </row>
    <row r="77" spans="1:2" x14ac:dyDescent="0.25">
      <c r="A77" s="1" t="s">
        <v>75</v>
      </c>
      <c r="B77" t="str" cm="1">
        <f t="array" ref="B77">CONCATENATE("""",A77,"""",":",,"""",getComment(A77),""",",)</f>
        <v>"Einkaufscode":"Code10",</v>
      </c>
    </row>
    <row r="78" spans="1:2" x14ac:dyDescent="0.25">
      <c r="A78" s="1" t="s">
        <v>76</v>
      </c>
      <c r="B78" t="str" cm="1">
        <f t="array" ref="B78">CONCATENATE("""",A78,"""",":",,"""",getComment(A78),""",",)</f>
        <v>"Serviceartikelgruppe":"Code10",</v>
      </c>
    </row>
    <row r="79" spans="1:2" x14ac:dyDescent="0.25">
      <c r="A79" s="1" t="s">
        <v>77</v>
      </c>
      <c r="B79" t="str" cm="1">
        <f t="array" ref="B79">CONCATENATE("""",A79,"""",":",,"""",getComment(A79),""",",)</f>
        <v>"Artikelverfolgungscode":"Code10",</v>
      </c>
    </row>
    <row r="80" spans="1:2" x14ac:dyDescent="0.25">
      <c r="A80" s="1" t="s">
        <v>78</v>
      </c>
      <c r="B80" t="str" cm="1">
        <f t="array" ref="B80">CONCATENATE("""",A80,"""",":",,"""",getComment(A80),""",",)</f>
        <v>"Chargennummern":"Code20",</v>
      </c>
    </row>
    <row r="81" spans="1:2" x14ac:dyDescent="0.25">
      <c r="A81" s="1" t="s">
        <v>79</v>
      </c>
      <c r="B81" t="str" cm="1">
        <f t="array" ref="B81">CONCATENATE("""",A81,"""",":",,"""",getComment(A81),""",",)</f>
        <v>"Ablaufdatumsformel":"DateFormula",</v>
      </c>
    </row>
    <row r="82" spans="1:2" x14ac:dyDescent="0.25">
      <c r="A82" s="1" t="s">
        <v>80</v>
      </c>
      <c r="B82" t="str" cm="1">
        <f t="array" ref="B82">CONCATENATE("""",A82,"""",":",,"""",getComment(A82),""",",)</f>
        <v>"Lagerklassencode":"Code10",</v>
      </c>
    </row>
    <row r="83" spans="1:2" x14ac:dyDescent="0.25">
      <c r="A83" s="1" t="s">
        <v>81</v>
      </c>
      <c r="B83" t="str" cm="1">
        <f t="array" ref="B83">CONCATENATE("""",A83,"""",":",,"""",getComment(A83),""",",)</f>
        <v>"Lagerhilfsmittelcode":"Code10",</v>
      </c>
    </row>
    <row r="84" spans="1:2" x14ac:dyDescent="0.25">
      <c r="A84" s="1" t="s">
        <v>82</v>
      </c>
      <c r="B84" t="str" cm="1">
        <f t="array" ref="B84">CONCATENATE("""",A84,"""",":",,"""",getComment(A84),""",",)</f>
        <v>"Einlagerungsvorlagencode":"Code10",</v>
      </c>
    </row>
    <row r="85" spans="1:2" x14ac:dyDescent="0.25">
      <c r="A85" s="1" t="s">
        <v>83</v>
      </c>
      <c r="B85" t="str" cm="1">
        <f t="array" ref="B85">CONCATENATE("""",A85,"""",":",,"""",getComment(A85),""",",)</f>
        <v>"Einlagerungseinheitencode":"Code10",</v>
      </c>
    </row>
    <row r="86" spans="1:2" x14ac:dyDescent="0.25">
      <c r="A86" s="1" t="s">
        <v>84</v>
      </c>
      <c r="B86" t="str" cm="1">
        <f t="array" ref="B86">CONCATENATE("""",A86,"""",":",,"""",getComment(A86),""",",)</f>
        <v>"Inventurhäufigkeitscode":"Code10",</v>
      </c>
    </row>
    <row r="87" spans="1:2" x14ac:dyDescent="0.25">
      <c r="A87" s="1" t="s">
        <v>85</v>
      </c>
      <c r="B87" t="str" cm="1">
        <f t="array" ref="B87">CONCATENATE("""",A87,"""",":",,"""",getComment(A87),""",",)</f>
        <v>"Letzte Aktual. Inv.-Häufigkeit":"Date",</v>
      </c>
    </row>
    <row r="88" spans="1:2" x14ac:dyDescent="0.25">
      <c r="A88" s="1" t="s">
        <v>86</v>
      </c>
      <c r="B88" t="str" cm="1">
        <f t="array" ref="B88">CONCATENATE("""",A88,"""",":",,"""",getComment(A88),""",",)</f>
        <v>"Zuordnung verwenden":"Boolean",</v>
      </c>
    </row>
    <row r="89" spans="1:2" x14ac:dyDescent="0.25">
      <c r="A89" s="1" t="s">
        <v>87</v>
      </c>
      <c r="B89" t="str" cm="1">
        <f t="array" ref="B89">CONCATENATE("""",A89,"""",":",,"""",getComment(A89),""",",)</f>
        <v>"Startdatum der nächsten Inventur":"Date",</v>
      </c>
    </row>
    <row r="90" spans="1:2" x14ac:dyDescent="0.25">
      <c r="A90" s="1" t="s">
        <v>88</v>
      </c>
      <c r="B90" t="str" cm="1">
        <f t="array" ref="B90">CONCATENATE("""",A90,"""",":",,"""",getComment(A90),""",",)</f>
        <v>"Enddatum der nächsten Inventur":"Date",</v>
      </c>
    </row>
    <row r="91" spans="1:2" x14ac:dyDescent="0.25">
      <c r="A91" s="1" t="s">
        <v>89</v>
      </c>
      <c r="B91" t="str" cm="1">
        <f t="array" ref="B91">CONCATENATE("""",A91,"""",":",,"""",getComment(A91),""",",)</f>
        <v>"ID":"GUID",</v>
      </c>
    </row>
    <row r="92" spans="1:2" x14ac:dyDescent="0.25">
      <c r="A92" s="1" t="s">
        <v>90</v>
      </c>
      <c r="B92" t="str" cm="1">
        <f t="array" ref="B92">CONCATENATE("""",A92,"""",":",,"""",getComment(A92),""",",)</f>
        <v>"Einheitenkennung":"GUID",</v>
      </c>
    </row>
    <row r="93" spans="1:2" x14ac:dyDescent="0.25">
      <c r="A93" s="1" t="s">
        <v>91</v>
      </c>
      <c r="B93" t="str" cm="1">
        <f t="array" ref="B93">CONCATENATE("""",A93,"""",":",,"""",getComment(A93),""",",)</f>
        <v>"Steuergruppen-ID":"GUID",</v>
      </c>
    </row>
    <row r="94" spans="1:2" x14ac:dyDescent="0.25">
      <c r="A94" s="1" t="s">
        <v>92</v>
      </c>
      <c r="B94" t="str" cm="1">
        <f t="array" ref="B94">CONCATENATE("""",A94,"""",":",,"""",getComment(A94),""",",)</f>
        <v>"Verkauf gesperrt":"Boolean",</v>
      </c>
    </row>
    <row r="95" spans="1:2" x14ac:dyDescent="0.25">
      <c r="A95" s="1" t="s">
        <v>93</v>
      </c>
      <c r="B95" t="str" cm="1">
        <f t="array" ref="B95">CONCATENATE("""",A95,"""",":",,"""",getComment(A95),""",",)</f>
        <v>"Einkauf gesperrt":"Boolean",</v>
      </c>
    </row>
    <row r="96" spans="1:2" x14ac:dyDescent="0.25">
      <c r="A96" s="1" t="s">
        <v>94</v>
      </c>
      <c r="B96" t="str" cm="1">
        <f t="array" ref="B96">CONCATENATE("""",A96,"""",":",,"""",getComment(A96),""",",)</f>
        <v>"Artikelkategorie-ID":"GUID",</v>
      </c>
    </row>
    <row r="97" spans="1:2" x14ac:dyDescent="0.25">
      <c r="A97" s="1" t="s">
        <v>95</v>
      </c>
      <c r="B97" t="str" cm="1">
        <f t="array" ref="B97">CONCATENATE("""",A97,"""",":",,"""",getComment(A97),""",",)</f>
        <v>"Eingangsüberschusscode":"Code20",</v>
      </c>
    </row>
    <row r="98" spans="1:2" x14ac:dyDescent="0.25">
      <c r="A98" s="1" t="s">
        <v>96</v>
      </c>
      <c r="B98" t="str" cm="1">
        <f t="array" ref="B98">CONCATENATE("""",A98,"""",":",,"""",getComment(A98),""",",)</f>
        <v>"Hat Umsatzplanung":"Boolean",</v>
      </c>
    </row>
    <row r="99" spans="1:2" x14ac:dyDescent="0.25">
      <c r="A99" s="1" t="s">
        <v>97</v>
      </c>
      <c r="B99" t="str" cm="1">
        <f t="array" ref="B99">CONCATENATE("""",A99,"""",":",,"""",getComment(A99),""",",)</f>
        <v>"Platzhalter":"Boolean",</v>
      </c>
    </row>
    <row r="100" spans="1:2" x14ac:dyDescent="0.25">
      <c r="A100" s="1" t="s">
        <v>98</v>
      </c>
      <c r="B100" t="str" cm="1">
        <f t="array" ref="B100">CONCATENATE("""",A100,"""",":",,"""",getComment(A100),""",",)</f>
        <v>"Klassencode":"Code10",</v>
      </c>
    </row>
    <row r="101" spans="1:2" x14ac:dyDescent="0.25">
      <c r="A101" s="1" t="s">
        <v>99</v>
      </c>
      <c r="B101" t="str" cm="1">
        <f t="array" ref="B101">CONCATENATE("""",A101,"""",":",,"""",getComment(A101),""",",)</f>
        <v>"Generiert":"Boolean",</v>
      </c>
    </row>
    <row r="102" spans="1:2" x14ac:dyDescent="0.25">
      <c r="A102" s="1" t="s">
        <v>100</v>
      </c>
      <c r="B102" t="str" cm="1">
        <f t="array" ref="B102">CONCATENATE("""",A102,"""",":",,"""",getComment(A102),""",",)</f>
        <v>"Variantenleiste einblenden":"Option
0: keine
1: immer",</v>
      </c>
    </row>
    <row r="103" spans="1:2" x14ac:dyDescent="0.25">
      <c r="A103" s="1" t="s">
        <v>101</v>
      </c>
      <c r="B103" t="str" cm="1">
        <f t="array" ref="B103">CONCATENATE("""",A103,"""",":",,"""",getComment(A103),""",",)</f>
        <v>"Gefilterte Variantenausprägung":"Boolean",</v>
      </c>
    </row>
    <row r="104" spans="1:2" x14ac:dyDescent="0.25">
      <c r="A104" s="1" t="s">
        <v>102</v>
      </c>
      <c r="B104" t="str" cm="1">
        <f t="array" ref="B104">CONCATENATE("""",A104,"""",":",,"""",getComment(A104),""",",)</f>
        <v>"Modell":"Boolean",</v>
      </c>
    </row>
    <row r="105" spans="1:2" x14ac:dyDescent="0.25">
      <c r="A105" s="1" t="s">
        <v>103</v>
      </c>
      <c r="B105" t="str" cm="1">
        <f t="array" ref="B105">CONCATENATE("""",A105,"""",":",,"""",getComment(A105),""",",)</f>
        <v>"Zuordnungspflichtig":"Boolean",</v>
      </c>
    </row>
    <row r="106" spans="1:2" x14ac:dyDescent="0.25">
      <c r="A106" s="1" t="s">
        <v>104</v>
      </c>
      <c r="B106" t="str" cm="1">
        <f t="array" ref="B106">CONCATENATE("""",A106,"""",":",,"""",getComment(A106),""",",)</f>
        <v>"Startdatum":"Date",</v>
      </c>
    </row>
    <row r="107" spans="1:2" x14ac:dyDescent="0.25">
      <c r="A107" s="1" t="s">
        <v>105</v>
      </c>
      <c r="B107" t="str" cm="1">
        <f t="array" ref="B107">CONCATENATE("""",A107,"""",":",,"""",getComment(A107),""",",)</f>
        <v>"Enddatum":"Date",</v>
      </c>
    </row>
    <row r="108" spans="1:2" x14ac:dyDescent="0.25">
      <c r="A108" s="1" t="s">
        <v>106</v>
      </c>
      <c r="B108" t="str" cm="1">
        <f t="array" ref="B108">CONCATENATE("""",A108,"""",":",,"""",getComment(A108),""",",)</f>
        <v>"Länge (mm)":"Decimal",</v>
      </c>
    </row>
    <row r="109" spans="1:2" x14ac:dyDescent="0.25">
      <c r="A109" s="1" t="s">
        <v>107</v>
      </c>
      <c r="B109" t="str" cm="1">
        <f t="array" ref="B109">CONCATENATE("""",A109,"""",":",,"""",getComment(A109),""",",)</f>
        <v>"Breite (mm)":"Decimal",</v>
      </c>
    </row>
    <row r="110" spans="1:2" x14ac:dyDescent="0.25">
      <c r="A110" s="1" t="s">
        <v>108</v>
      </c>
      <c r="B110" t="str" cm="1">
        <f t="array" ref="B110">CONCATENATE("""",A110,"""",":",,"""",getComment(A110),""",",)</f>
        <v>"Stärke (mm)":"Decimal",</v>
      </c>
    </row>
    <row r="111" spans="1:2" x14ac:dyDescent="0.25">
      <c r="A111" s="1" t="s">
        <v>109</v>
      </c>
      <c r="B111" t="str" cm="1">
        <f t="array" ref="B111">CONCATENATE("""",A111,"""",":",,"""",getComment(A111),""",",)</f>
        <v>"Set":"Boolean",</v>
      </c>
    </row>
    <row r="112" spans="1:2" x14ac:dyDescent="0.25">
      <c r="A112" s="1" t="s">
        <v>110</v>
      </c>
      <c r="B112" t="str" cm="1">
        <f t="array" ref="B112">CONCATENATE("""",A112,"""",":",,"""",getComment(A112),""",",)</f>
        <v>"Unterpositionen generieren":"Boolean",</v>
      </c>
    </row>
    <row r="113" spans="1:2" x14ac:dyDescent="0.25">
      <c r="A113" s="1" t="s">
        <v>111</v>
      </c>
      <c r="B113" t="str" cm="1">
        <f t="array" ref="B113">CONCATENATE("""",A113,"""",":",,"""",getComment(A113),""",",)</f>
        <v>"Wertenfilter":"Boolean",</v>
      </c>
    </row>
    <row r="114" spans="1:2" x14ac:dyDescent="0.25">
      <c r="A114" s="1" t="s">
        <v>112</v>
      </c>
      <c r="B114" t="str" cm="1">
        <f t="array" ref="B114">CONCATENATE("""",A114,"""",":",,"""",getComment(A114),""",",)</f>
        <v>"Beschreibungen generieren":"Boolean",</v>
      </c>
    </row>
    <row r="115" spans="1:2" x14ac:dyDescent="0.25">
      <c r="A115" s="1" t="s">
        <v>113</v>
      </c>
      <c r="B115" t="str" cm="1">
        <f t="array" ref="B115">CONCATENATE("""",A115,"""",":",,"""",getComment(A115),""",",)</f>
        <v>"Belegmenge":"Decimal",</v>
      </c>
    </row>
    <row r="116" spans="1:2" x14ac:dyDescent="0.25">
      <c r="A116" s="1" t="s">
        <v>114</v>
      </c>
      <c r="B116" t="str" cm="1">
        <f t="array" ref="B116">CONCATENATE("""",A116,"""",":",,"""",getComment(A116),""",",)</f>
        <v>"Ausfuhrlistennr.":"Text20",</v>
      </c>
    </row>
    <row r="117" spans="1:2" x14ac:dyDescent="0.25">
      <c r="A117" s="1" t="s">
        <v>115</v>
      </c>
      <c r="B117" t="str" cm="1">
        <f t="array" ref="B117">CONCATENATE("""",A117,"""",":",,"""",getComment(A117),""",",)</f>
        <v>"Dual-Use Nr.":"Text20",</v>
      </c>
    </row>
    <row r="118" spans="1:2" x14ac:dyDescent="0.25">
      <c r="A118" s="1" t="s">
        <v>116</v>
      </c>
      <c r="B118" t="str" cm="1">
        <f t="array" ref="B118">CONCATENATE("""",A118,"""",":",,"""",getComment(A118),""",",)</f>
        <v>"ECCN":"Text20",</v>
      </c>
    </row>
    <row r="119" spans="1:2" x14ac:dyDescent="0.25">
      <c r="A119" s="1" t="s">
        <v>117</v>
      </c>
      <c r="B119" t="str" cm="1">
        <f t="array" ref="B119">CONCATENATE("""",A119,"""",":",,"""",getComment(A119),""",",)</f>
        <v>"Sachmerkmale drucken":"Boolean",</v>
      </c>
    </row>
    <row r="120" spans="1:2" x14ac:dyDescent="0.25">
      <c r="A120" s="1" t="s">
        <v>118</v>
      </c>
      <c r="B120" t="str" cm="1">
        <f t="array" ref="B120">CONCATENATE("""",A120,"""",":",,"""",getComment(A120),""",",)</f>
        <v>"Verkauf Preisschemacode":"Code10",</v>
      </c>
    </row>
    <row r="121" spans="1:2" x14ac:dyDescent="0.25">
      <c r="A121" s="1" t="s">
        <v>119</v>
      </c>
      <c r="B121" t="str" cm="1">
        <f t="array" ref="B121">CONCATENATE("""",A121,"""",":",,"""",getComment(A121),""",",)</f>
        <v>"Einkauf Preisschemacode":"Code10",</v>
      </c>
    </row>
    <row r="122" spans="1:2" x14ac:dyDescent="0.25">
      <c r="A122" s="1" t="s">
        <v>120</v>
      </c>
      <c r="B122" t="str" cm="1">
        <f t="array" ref="B122">CONCATENATE("""",A122,"""",":",,"""",getComment(A122),""",",)</f>
        <v>"Einkauf Berechnungspreiscode":"Code10",</v>
      </c>
    </row>
    <row r="123" spans="1:2" x14ac:dyDescent="0.25">
      <c r="A123" s="1" t="s">
        <v>121</v>
      </c>
      <c r="B123" t="str" cm="1">
        <f t="array" ref="B123">CONCATENATE("""",A123,"""",":",,"""",getComment(A123),""",",)</f>
        <v>"Verkauf Berechnungspreiscode":"Code10",</v>
      </c>
    </row>
    <row r="124" spans="1:2" x14ac:dyDescent="0.25">
      <c r="A124" s="1" t="s">
        <v>122</v>
      </c>
      <c r="B124" t="str" cm="1">
        <f t="array" ref="B124">CONCATENATE("""",A124,"""",":",,"""",getComment(A124),""",",)</f>
        <v>"Verkauf Preisstücklistennr.":"Code20",</v>
      </c>
    </row>
    <row r="125" spans="1:2" x14ac:dyDescent="0.25">
      <c r="A125" s="1" t="s">
        <v>123</v>
      </c>
      <c r="B125" t="str" cm="1">
        <f t="array" ref="B125">CONCATENATE("""",A125,"""",":",,"""",getComment(A125),""",",)</f>
        <v>"Einkauf Preisstücklistennr.":"Code20",</v>
      </c>
    </row>
    <row r="126" spans="1:2" x14ac:dyDescent="0.25">
      <c r="A126" s="1" t="s">
        <v>124</v>
      </c>
      <c r="B126" t="str" cm="1">
        <f t="array" ref="B126">CONCATENATE("""",A126,"""",":",,"""",getComment(A126),""",",)</f>
        <v>"Verw. Preisfindung für Fremdarbeit":"Boolean",</v>
      </c>
    </row>
    <row r="127" spans="1:2" x14ac:dyDescent="0.25">
      <c r="A127" s="1" t="s">
        <v>125</v>
      </c>
      <c r="B127" t="str" cm="1">
        <f t="array" ref="B127">CONCATENATE("""",A127,"""",":",,"""",getComment(A127),""",",)</f>
        <v>"Prognosekategoriecode":"Code20",</v>
      </c>
    </row>
    <row r="128" spans="1:2" x14ac:dyDescent="0.25">
      <c r="A128" s="1" t="s">
        <v>126</v>
      </c>
      <c r="B128" t="str" cm="1">
        <f t="array" ref="B128">CONCATENATE("""",A128,"""",":",,"""",getComment(A128),""",",)</f>
        <v>"Austauschart":"Option
0:  
1: Ersatzteil
2: Verschleißteil",</v>
      </c>
    </row>
    <row r="129" spans="1:2" x14ac:dyDescent="0.25">
      <c r="A129" s="1" t="s">
        <v>127</v>
      </c>
      <c r="B129" t="str" cm="1">
        <f t="array" ref="B129">CONCATENATE("""",A129,"""",":",,"""",getComment(A129),""",",)</f>
        <v>"Projektartikel":"Boolean",</v>
      </c>
    </row>
    <row r="130" spans="1:2" x14ac:dyDescent="0.25">
      <c r="A130" s="1" t="s">
        <v>128</v>
      </c>
      <c r="B130" t="str" cm="1">
        <f t="array" ref="B130">CONCATENATE("""",A130,"""",":",,"""",getComment(A130),""",",)</f>
        <v>"Projektlagerort":"Code10",</v>
      </c>
    </row>
    <row r="131" spans="1:2" x14ac:dyDescent="0.25">
      <c r="A131" s="1" t="s">
        <v>129</v>
      </c>
      <c r="B131" t="str" cm="1">
        <f t="array" ref="B131">CONCATENATE("""",A131,"""",":",,"""",getComment(A131),""",",)</f>
        <v>"Letzte Einstandspreisberechnung von":"Code50",</v>
      </c>
    </row>
    <row r="132" spans="1:2" x14ac:dyDescent="0.25">
      <c r="A132" s="1" t="s">
        <v>130</v>
      </c>
      <c r="B132" t="str" cm="1">
        <f t="array" ref="B132">CONCATENATE("""",A132,"""",":",,"""",getComment(A132),""",",)</f>
        <v>"Letzte Einstandspreisberechnung am":"DateTime",</v>
      </c>
    </row>
    <row r="133" spans="1:2" x14ac:dyDescent="0.25">
      <c r="A133" s="1" t="s">
        <v>131</v>
      </c>
      <c r="B133" t="str" cm="1">
        <f t="array" ref="B133">CONCATENATE("""",A133,"""",":",,"""",getComment(A133),""",",)</f>
        <v>"Kalkulationsgruppencode":"Code10",</v>
      </c>
    </row>
    <row r="134" spans="1:2" x14ac:dyDescent="0.25">
      <c r="A134" s="1" t="s">
        <v>132</v>
      </c>
      <c r="B134" t="str" cm="1">
        <f t="array" ref="B134">CONCATENATE("""",A134,"""",":",,"""",getComment(A134),""",",)</f>
        <v>"Kalkulationszuschlagscode":"Code10",</v>
      </c>
    </row>
    <row r="135" spans="1:2" x14ac:dyDescent="0.25">
      <c r="A135" s="1" t="s">
        <v>133</v>
      </c>
      <c r="B135" t="str" cm="1">
        <f t="array" ref="B135">CONCATENATE("""",A135,"""",":",,"""",getComment(A135),""",",)</f>
        <v>"Kalkulierte Einstandskosten":"Decimal",</v>
      </c>
    </row>
    <row r="136" spans="1:2" x14ac:dyDescent="0.25">
      <c r="A136" s="1" t="s">
        <v>134</v>
      </c>
      <c r="B136" t="str" cm="1">
        <f t="array" ref="B136">CONCATENATE("""",A136,"""",":",,"""",getComment(A136),""",",)</f>
        <v>"Kalkulationsvorlage":"Code20",</v>
      </c>
    </row>
    <row r="137" spans="1:2" x14ac:dyDescent="0.25">
      <c r="A137" s="1" t="s">
        <v>135</v>
      </c>
      <c r="B137" t="str" cm="1">
        <f t="array" ref="B137">CONCATENATE("""",A137,"""",":",,"""",getComment(A137),""",",)</f>
        <v>"Kalkulationslosgröße":"Decimal",</v>
      </c>
    </row>
    <row r="138" spans="1:2" x14ac:dyDescent="0.25">
      <c r="A138" s="1" t="s">
        <v>136</v>
      </c>
      <c r="B138" t="str" cm="1">
        <f t="array" ref="B138">CONCATENATE("""",A138,"""",":",,"""",getComment(A138),""",",)</f>
        <v>"Artikelpostenstatuscode":"Code10",</v>
      </c>
    </row>
    <row r="139" spans="1:2" x14ac:dyDescent="0.25">
      <c r="A139" s="1" t="s">
        <v>137</v>
      </c>
      <c r="B139" t="str" cm="1">
        <f t="array" ref="B139">CONCATENATE("""",A139,"""",":",,"""",getComment(A139),""",",)</f>
        <v>"Dispositionsgruppencode":"Code10",</v>
      </c>
    </row>
    <row r="140" spans="1:2" x14ac:dyDescent="0.25">
      <c r="A140" s="1" t="s">
        <v>138</v>
      </c>
      <c r="B140" t="str" cm="1">
        <f t="array" ref="B140">CONCATENATE("""",A140,"""",":",,"""",getComment(A140),""",",)</f>
        <v>"Colli":"Boolean",</v>
      </c>
    </row>
    <row r="141" spans="1:2" x14ac:dyDescent="0.25">
      <c r="A141" s="1" t="s">
        <v>139</v>
      </c>
      <c r="B141" t="str" cm="1">
        <f t="array" ref="B141">CONCATENATE("""",A141,"""",":",,"""",getComment(A141),""",",)</f>
        <v>"Packstückgruppencode":"Code10",</v>
      </c>
    </row>
    <row r="142" spans="1:2" x14ac:dyDescent="0.25">
      <c r="A142" s="1" t="s">
        <v>140</v>
      </c>
      <c r="B142" t="str" cm="1">
        <f t="array" ref="B142">CONCATENATE("""",A142,"""",":",,"""",getComment(A142),""",",)</f>
        <v>"Menge ignorieren für Packstückbildung":"Boolean",</v>
      </c>
    </row>
    <row r="143" spans="1:2" x14ac:dyDescent="0.25">
      <c r="A143" s="1" t="s">
        <v>141</v>
      </c>
      <c r="B143" t="str" cm="1">
        <f t="array" ref="B143">CONCATENATE("""",A143,"""",":",,"""",getComment(A143),""",",)</f>
        <v>"Colli Komponente":"Boolean",</v>
      </c>
    </row>
    <row r="144" spans="1:2" x14ac:dyDescent="0.25">
      <c r="A144" s="1" t="s">
        <v>142</v>
      </c>
      <c r="B144" t="str" cm="1">
        <f t="array" ref="B144">CONCATENATE("""",A144,"""",":",,"""",getComment(A144),""",",)</f>
        <v>"Det. Collis erzeugen":"Boolean",</v>
      </c>
    </row>
    <row r="145" spans="1:2" x14ac:dyDescent="0.25">
      <c r="A145" s="1" t="s">
        <v>143</v>
      </c>
      <c r="B145" t="str" cm="1">
        <f t="array" ref="B145">CONCATENATE("""",A145,"""",":",,"""",getComment(A145),""",",)</f>
        <v>"Planungszeitraum":"DateFormula",</v>
      </c>
    </row>
    <row r="146" spans="1:2" x14ac:dyDescent="0.25">
      <c r="A146" s="1" t="s">
        <v>144</v>
      </c>
      <c r="B146" t="str" cm="1">
        <f t="array" ref="B146">CONCATENATE("""",A146,"""",":",,"""",getComment(A146),""",",)</f>
        <v>"Nächstes Planungsdatum":"Date",</v>
      </c>
    </row>
    <row r="147" spans="1:2" x14ac:dyDescent="0.25">
      <c r="A147" s="1" t="s">
        <v>145</v>
      </c>
      <c r="B147" t="str" cm="1">
        <f t="array" ref="B147">CONCATENATE("""",A147,"""",":",,"""",getComment(A147),""",",)</f>
        <v>"Einkaufsliefertoleranzencode":"Code10",</v>
      </c>
    </row>
    <row r="148" spans="1:2" x14ac:dyDescent="0.25">
      <c r="A148" s="1" t="s">
        <v>146</v>
      </c>
      <c r="B148" t="str" cm="1">
        <f t="array" ref="B148">CONCATENATE("""",A148,"""",":",,"""",getComment(A148),""",",)</f>
        <v>"Verkaufsliefertoleranzencode":"Code10",</v>
      </c>
    </row>
    <row r="149" spans="1:2" x14ac:dyDescent="0.25">
      <c r="A149" s="1" t="s">
        <v>147</v>
      </c>
      <c r="B149" t="str" cm="1">
        <f t="array" ref="B149">CONCATENATE("""",A149,"""",":",,"""",getComment(A149),""",",)</f>
        <v>"QCM-Integrationsart":"Option
0: Prüfpflichtig
1: 
2: 
3: Nicht prüfpflichtig",</v>
      </c>
    </row>
    <row r="150" spans="1:2" x14ac:dyDescent="0.25">
      <c r="A150" s="1" t="s">
        <v>148</v>
      </c>
      <c r="B150" t="str" cm="1">
        <f t="array" ref="B150">CONCATENATE("""",A150,"""",":",,"""",getComment(A150),""",",)</f>
        <v>"Checklistenvorlagecode":"Code20",</v>
      </c>
    </row>
    <row r="151" spans="1:2" x14ac:dyDescent="0.25">
      <c r="A151" s="1" t="s">
        <v>149</v>
      </c>
      <c r="B151" t="str" cm="1">
        <f t="array" ref="B151">CONCATENATE("""",A151,"""",":",,"""",getComment(A151),""",",)</f>
        <v>"Artikelstatus":"Code20",</v>
      </c>
    </row>
    <row r="152" spans="1:2" x14ac:dyDescent="0.25">
      <c r="A152" s="1" t="s">
        <v>150</v>
      </c>
      <c r="B152" t="str" cm="1">
        <f t="array" ref="B152">CONCATENATE("""",A152,"""",":",,"""",getComment(A152),""",",)</f>
        <v>"Aus externem System":"Boolean",</v>
      </c>
    </row>
    <row r="153" spans="1:2" x14ac:dyDescent="0.25">
      <c r="A153" s="1" t="s">
        <v>151</v>
      </c>
      <c r="B153" t="str" cm="1">
        <f t="array" ref="B153">CONCATENATE("""",A153,"""",":",,"""",getComment(A153),""",",)</f>
        <v>"Hersteller-ID":"GUID",</v>
      </c>
    </row>
    <row r="154" spans="1:2" x14ac:dyDescent="0.25">
      <c r="A154" s="1" t="s">
        <v>152</v>
      </c>
      <c r="B154" t="str" cm="1">
        <f t="array" ref="B154">CONCATENATE("""",A154,"""",":",,"""",getComment(A154),""",",)</f>
        <v>"Fertigungsstücklisten-ID":"GUID",</v>
      </c>
    </row>
    <row r="155" spans="1:2" x14ac:dyDescent="0.25">
      <c r="A155" s="1" t="s">
        <v>153</v>
      </c>
      <c r="B155" t="str" cm="1">
        <f t="array" ref="B155">CONCATENATE("""",A155,"""",":",,"""",getComment(A155),""",",)</f>
        <v>"Artikelstatus-ID":"GUID",</v>
      </c>
    </row>
    <row r="156" spans="1:2" x14ac:dyDescent="0.25">
      <c r="A156" s="1" t="s">
        <v>154</v>
      </c>
      <c r="B156" t="str" cm="1">
        <f t="array" ref="B156">CONCATENATE("""",A156,"""",":",,"""",getComment(A156),""",",)</f>
        <v>"Zeichnungsnr.":"Text100",</v>
      </c>
    </row>
    <row r="157" spans="1:2" x14ac:dyDescent="0.25">
      <c r="A157" s="1" t="s">
        <v>155</v>
      </c>
      <c r="B157" t="str" cm="1">
        <f t="array" ref="B157">CONCATENATE("""",A157,"""",":",,"""",getComment(A157),""",",)</f>
        <v>"Arbeitsplannr.":"Code20",</v>
      </c>
    </row>
    <row r="158" spans="1:2" x14ac:dyDescent="0.25">
      <c r="A158" s="1" t="s">
        <v>156</v>
      </c>
      <c r="B158" t="str" cm="1">
        <f t="array" ref="B158">CONCATENATE("""",A158,"""",":",,"""",getComment(A158),""",",)</f>
        <v>"Fert.-Stücklistennr.":"Code20",</v>
      </c>
    </row>
    <row r="159" spans="1:2" x14ac:dyDescent="0.25">
      <c r="A159" s="1" t="s">
        <v>157</v>
      </c>
      <c r="B159" t="str" cm="1">
        <f t="array" ref="B159">CONCATENATE("""",A159,"""",":",,"""",getComment(A159),""",",)</f>
        <v>"Einstufige Materialkosten":"Decimal",</v>
      </c>
    </row>
    <row r="160" spans="1:2" x14ac:dyDescent="0.25">
      <c r="A160" s="1" t="s">
        <v>158</v>
      </c>
      <c r="B160" t="str" cm="1">
        <f t="array" ref="B160">CONCATENATE("""",A160,"""",":",,"""",getComment(A160),""",",)</f>
        <v>"Einstufige Kapazitätskosten":"Decimal",</v>
      </c>
    </row>
    <row r="161" spans="1:2" x14ac:dyDescent="0.25">
      <c r="A161" s="1" t="s">
        <v>159</v>
      </c>
      <c r="B161" t="str" cm="1">
        <f t="array" ref="B161">CONCATENATE("""",A161,"""",":",,"""",getComment(A161),""",",)</f>
        <v>"Einstufige Fremdarbeitskosten":"Decimal",</v>
      </c>
    </row>
    <row r="162" spans="1:2" x14ac:dyDescent="0.25">
      <c r="A162" s="1" t="s">
        <v>160</v>
      </c>
      <c r="B162" t="str" cm="1">
        <f t="array" ref="B162">CONCATENATE("""",A162,"""",":",,"""",getComment(A162),""",",)</f>
        <v>"Einstufige Kap.-Gemeinkosten":"Decimal",</v>
      </c>
    </row>
    <row r="163" spans="1:2" x14ac:dyDescent="0.25">
      <c r="A163" s="1" t="s">
        <v>161</v>
      </c>
      <c r="B163" t="str" cm="1">
        <f t="array" ref="B163">CONCATENATE("""",A163,"""",":",,"""",getComment(A163),""",",)</f>
        <v>"Einstufige Prod.-Gemeinkosten":"Decimal",</v>
      </c>
    </row>
    <row r="164" spans="1:2" x14ac:dyDescent="0.25">
      <c r="A164" s="1" t="s">
        <v>162</v>
      </c>
      <c r="B164" t="str" cm="1">
        <f t="array" ref="B164">CONCATENATE("""",A164,"""",":",,"""",getComment(A164),""",",)</f>
        <v>"Gemeinkostensatz":"Decimal",</v>
      </c>
    </row>
    <row r="165" spans="1:2" x14ac:dyDescent="0.25">
      <c r="A165" s="1" t="s">
        <v>163</v>
      </c>
      <c r="B165" t="str" cm="1">
        <f t="array" ref="B165">CONCATENATE("""",A165,"""",":",,"""",getComment(A165),""",",)</f>
        <v>"Mehrstufige Fremdarbeitskosten":"Decimal",</v>
      </c>
    </row>
    <row r="166" spans="1:2" x14ac:dyDescent="0.25">
      <c r="A166" s="1" t="s">
        <v>164</v>
      </c>
      <c r="B166" t="str" cm="1">
        <f t="array" ref="B166">CONCATENATE("""",A166,"""",":",,"""",getComment(A166),""",",)</f>
        <v>"Mehrstufige Prod.-Gemeinkosten":"Decimal",</v>
      </c>
    </row>
    <row r="167" spans="1:2" x14ac:dyDescent="0.25">
      <c r="A167" s="1" t="s">
        <v>165</v>
      </c>
      <c r="B167" t="str" cm="1">
        <f t="array" ref="B167">CONCATENATE("""",A167,"""",":",,"""",getComment(A167),""",",)</f>
        <v>"Mehrstufige Kap.-Gemeinkosten":"Decimal",</v>
      </c>
    </row>
    <row r="168" spans="1:2" x14ac:dyDescent="0.25">
      <c r="A168" s="1" t="s">
        <v>166</v>
      </c>
      <c r="B168" t="str" cm="1">
        <f t="array" ref="B168">CONCATENATE("""",A168,"""",":",,"""",getComment(A168),""",",)</f>
        <v>"Bedarfsverursacherart":"Option
0: Keine
1: Nur Bedarfsverursacher
2: Bedarfsverursacher &amp; Ereignismeldung",</v>
      </c>
    </row>
    <row r="169" spans="1:2" x14ac:dyDescent="0.25">
      <c r="A169" s="1" t="s">
        <v>167</v>
      </c>
      <c r="B169" t="str" cm="1">
        <f t="array" ref="B169">CONCATENATE("""",A169,"""",":",,"""",getComment(A169),""",",)</f>
        <v>"Kritisch":"Boolean",</v>
      </c>
    </row>
    <row r="170" spans="1:2" x14ac:dyDescent="0.25">
      <c r="A170" s="2" t="s">
        <v>168</v>
      </c>
      <c r="B170" t="str" cm="1">
        <f t="array" ref="B170">CONCATENATE("""",A170,"""",":",,"""",getComment(A170),""",",)</f>
        <v>"Gemeinsame Artikelnr.":"Code20",</v>
      </c>
    </row>
  </sheetData>
  <conditionalFormatting sqref="E2">
    <cfRule type="duplicateValues" dxfId="0" priority="1"/>
  </conditionalFormatting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Clemens Kunert</dc:creator>
  <cp:lastModifiedBy>Clemens Kunert</cp:lastModifiedBy>
  <dcterms:created xsi:type="dcterms:W3CDTF">2021-07-07T05:17:56Z</dcterms:created>
  <dcterms:modified xsi:type="dcterms:W3CDTF">2021-07-07T11:51:22Z</dcterms:modified>
</cp:coreProperties>
</file>